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16" windowHeight="9324" activeTab="2"/>
  </bookViews>
  <sheets>
    <sheet name="SurveySheet" sheetId="2" r:id="rId1"/>
    <sheet name="Entry" sheetId="4" r:id="rId2"/>
    <sheet name="Results" sheetId="7" r:id="rId3"/>
    <sheet name="Lookup" sheetId="6" state="veryHidden" r:id="rId4"/>
    <sheet name="Backend" sheetId="5" state="veryHidden" r:id="rId5"/>
  </sheets>
  <definedNames>
    <definedName name="_xlnm._FilterDatabase" localSheetId="1" hidden="1">Entry!$C$1:$C$158</definedName>
    <definedName name="_xlnm._FilterDatabase" localSheetId="2" hidden="1">Results!$S$1:$S$500</definedName>
    <definedName name="DVtable">Lookup!$A$2:$H$44</definedName>
    <definedName name="_xlnm.Print_Area" localSheetId="1">Entry!$A$1:$N$497</definedName>
    <definedName name="_xlnm.Print_Area" localSheetId="2">Results!$A$1:$T$500</definedName>
    <definedName name="_xlnm.Print_Area" localSheetId="0">SurveySheet!$A$1:$L$49</definedName>
    <definedName name="_xlnm.Print_Titles" localSheetId="1">Entry!$11:$12</definedName>
    <definedName name="_xlnm.Print_Titles" localSheetId="2">Results!$1:$3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" i="7" l="1"/>
  <c r="AC2" i="7"/>
  <c r="W2" i="7"/>
  <c r="Z2" i="7"/>
  <c r="AF4" i="7" l="1"/>
  <c r="T2" i="7"/>
  <c r="AF3" i="7" l="1"/>
  <c r="S3" i="6" l="1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2" i="6"/>
  <c r="K71" i="4" l="1"/>
  <c r="K72" i="4"/>
  <c r="K73" i="4"/>
  <c r="K80" i="4"/>
  <c r="K81" i="4"/>
  <c r="K108" i="4"/>
  <c r="K111" i="4"/>
  <c r="K123" i="4"/>
  <c r="K133" i="4"/>
  <c r="K142" i="4"/>
  <c r="K140" i="4"/>
  <c r="K159" i="4"/>
  <c r="K160" i="4"/>
  <c r="K152" i="4"/>
  <c r="K153" i="4"/>
  <c r="K154" i="4"/>
  <c r="K170" i="4"/>
  <c r="K173" i="4"/>
  <c r="K190" i="4"/>
  <c r="K192" i="4"/>
  <c r="K218" i="4"/>
  <c r="K221" i="4"/>
  <c r="K227" i="4"/>
  <c r="K259" i="4"/>
  <c r="K241" i="4"/>
  <c r="H202" i="4"/>
  <c r="K202" i="4" s="1"/>
  <c r="K77" i="4"/>
  <c r="K78" i="4"/>
  <c r="K82" i="4"/>
  <c r="K83" i="4"/>
  <c r="K70" i="4"/>
  <c r="K74" i="4"/>
  <c r="K75" i="4"/>
  <c r="E260" i="4"/>
  <c r="K36" i="4"/>
  <c r="F262" i="4"/>
  <c r="E262" i="4"/>
  <c r="K180" i="4"/>
  <c r="K176" i="4"/>
  <c r="K177" i="4"/>
  <c r="K178" i="4"/>
  <c r="K172" i="4"/>
  <c r="K174" i="4"/>
  <c r="K57" i="4"/>
  <c r="K51" i="4"/>
  <c r="K52" i="4"/>
  <c r="K53" i="4"/>
  <c r="K54" i="4"/>
  <c r="K46" i="4"/>
  <c r="K47" i="4"/>
  <c r="K48" i="4"/>
  <c r="K49" i="4"/>
  <c r="K43" i="4"/>
  <c r="K44" i="4"/>
  <c r="K38" i="4"/>
  <c r="K39" i="4"/>
  <c r="K40" i="4"/>
  <c r="K41" i="4"/>
  <c r="K261" i="4"/>
  <c r="K257" i="4"/>
  <c r="K258" i="4"/>
  <c r="K254" i="4"/>
  <c r="K255" i="4"/>
  <c r="K252" i="4"/>
  <c r="K247" i="4"/>
  <c r="K248" i="4"/>
  <c r="K249" i="4"/>
  <c r="K250" i="4"/>
  <c r="K243" i="4"/>
  <c r="K244" i="4"/>
  <c r="K245" i="4"/>
  <c r="K239" i="4"/>
  <c r="K240" i="4"/>
  <c r="K234" i="4"/>
  <c r="K235" i="4"/>
  <c r="K236" i="4"/>
  <c r="K237" i="4"/>
  <c r="K230" i="4"/>
  <c r="K231" i="4"/>
  <c r="K232" i="4"/>
  <c r="K225" i="4"/>
  <c r="K226" i="4"/>
  <c r="K228" i="4"/>
  <c r="K222" i="4"/>
  <c r="K223" i="4"/>
  <c r="K217" i="4"/>
  <c r="K219" i="4"/>
  <c r="K214" i="4"/>
  <c r="K215" i="4"/>
  <c r="K211" i="4"/>
  <c r="K212" i="4"/>
  <c r="K207" i="4"/>
  <c r="K208" i="4"/>
  <c r="K209" i="4"/>
  <c r="K205" i="4"/>
  <c r="K204" i="4"/>
  <c r="K198" i="4"/>
  <c r="K199" i="4"/>
  <c r="K200" i="4"/>
  <c r="K195" i="4"/>
  <c r="K196" i="4"/>
  <c r="K197" i="4"/>
  <c r="K191" i="4"/>
  <c r="K193" i="4"/>
  <c r="K186" i="4"/>
  <c r="K187" i="4"/>
  <c r="K188" i="4"/>
  <c r="K182" i="4"/>
  <c r="K183" i="4"/>
  <c r="K184" i="4"/>
  <c r="K168" i="4"/>
  <c r="K169" i="4"/>
  <c r="K163" i="4"/>
  <c r="K164" i="4"/>
  <c r="K165" i="4"/>
  <c r="M236" i="4" l="1"/>
  <c r="M226" i="4"/>
  <c r="M235" i="4"/>
  <c r="M225" i="4"/>
  <c r="M234" i="4"/>
  <c r="M237" i="4"/>
  <c r="K166" i="4" l="1"/>
  <c r="M166" i="4" s="1"/>
  <c r="K171" i="4"/>
  <c r="K175" i="4"/>
  <c r="K179" i="4"/>
  <c r="K181" i="4"/>
  <c r="K185" i="4"/>
  <c r="K189" i="4"/>
  <c r="K194" i="4"/>
  <c r="K201" i="4"/>
  <c r="K203" i="4"/>
  <c r="K206" i="4"/>
  <c r="K210" i="4"/>
  <c r="K213" i="4"/>
  <c r="K216" i="4"/>
  <c r="K220" i="4"/>
  <c r="K224" i="4"/>
  <c r="M224" i="4" s="1"/>
  <c r="K229" i="4"/>
  <c r="K233" i="4"/>
  <c r="M233" i="4" s="1"/>
  <c r="K238" i="4"/>
  <c r="K242" i="4"/>
  <c r="K246" i="4"/>
  <c r="K251" i="4"/>
  <c r="K253" i="4"/>
  <c r="K256" i="4"/>
  <c r="K260" i="4"/>
  <c r="K262" i="4"/>
  <c r="K14" i="4"/>
  <c r="K13" i="4"/>
  <c r="E20" i="4"/>
  <c r="M57" i="4"/>
  <c r="M70" i="4"/>
  <c r="M75" i="4"/>
  <c r="M123" i="4"/>
  <c r="M133" i="4"/>
  <c r="M140" i="4"/>
  <c r="M142" i="4"/>
  <c r="K161" i="4"/>
  <c r="M161" i="4" s="1"/>
  <c r="M163" i="4"/>
  <c r="M205" i="4"/>
  <c r="M208" i="4" l="1"/>
  <c r="M207" i="4"/>
  <c r="M209" i="4"/>
  <c r="M184" i="4"/>
  <c r="M182" i="4"/>
  <c r="M183" i="4"/>
  <c r="M241" i="4"/>
  <c r="M244" i="4"/>
  <c r="M243" i="4"/>
  <c r="M245" i="4"/>
  <c r="M81" i="4"/>
  <c r="M78" i="4"/>
  <c r="M83" i="4"/>
  <c r="M80" i="4"/>
  <c r="M77" i="4"/>
  <c r="M82" i="4"/>
  <c r="M38" i="4"/>
  <c r="M40" i="4"/>
  <c r="M39" i="4"/>
  <c r="M41" i="4"/>
  <c r="M258" i="4"/>
  <c r="M256" i="4"/>
  <c r="M257" i="4"/>
  <c r="E16" i="4"/>
  <c r="M206" i="4"/>
  <c r="K162" i="4"/>
  <c r="M162" i="4" s="1"/>
  <c r="M43" i="4"/>
  <c r="M44" i="4"/>
  <c r="M242" i="4"/>
  <c r="M218" i="4"/>
  <c r="M219" i="4"/>
  <c r="M216" i="4"/>
  <c r="M217" i="4"/>
  <c r="M111" i="4"/>
  <c r="M108" i="4"/>
  <c r="M51" i="4"/>
  <c r="M53" i="4"/>
  <c r="M52" i="4"/>
  <c r="M54" i="4"/>
  <c r="E35" i="4"/>
  <c r="K35" i="4" s="1"/>
  <c r="M35" i="4" s="1"/>
  <c r="M36" i="4"/>
  <c r="M254" i="4"/>
  <c r="M255" i="4"/>
  <c r="M253" i="4"/>
  <c r="M262" i="4"/>
  <c r="M220" i="4"/>
  <c r="M221" i="4"/>
  <c r="M222" i="4"/>
  <c r="M223" i="4"/>
  <c r="M198" i="4"/>
  <c r="M199" i="4"/>
  <c r="M200" i="4"/>
  <c r="M170" i="4"/>
  <c r="M168" i="4"/>
  <c r="M169" i="4"/>
  <c r="M259" i="4"/>
  <c r="M261" i="4"/>
  <c r="M194" i="4"/>
  <c r="M196" i="4"/>
  <c r="M197" i="4"/>
  <c r="M195" i="4"/>
  <c r="M180" i="4"/>
  <c r="M179" i="4"/>
  <c r="M164" i="4"/>
  <c r="M165" i="4"/>
  <c r="M153" i="4"/>
  <c r="M152" i="4"/>
  <c r="M154" i="4"/>
  <c r="M214" i="4"/>
  <c r="M213" i="4"/>
  <c r="M215" i="4"/>
  <c r="M204" i="4"/>
  <c r="M203" i="4"/>
  <c r="M190" i="4"/>
  <c r="M189" i="4"/>
  <c r="M192" i="4"/>
  <c r="M191" i="4"/>
  <c r="M193" i="4"/>
  <c r="M176" i="4"/>
  <c r="M178" i="4"/>
  <c r="M175" i="4"/>
  <c r="M177" i="4"/>
  <c r="M227" i="4"/>
  <c r="M231" i="4"/>
  <c r="M230" i="4"/>
  <c r="M228" i="4"/>
  <c r="M232" i="4"/>
  <c r="M210" i="4"/>
  <c r="M211" i="4"/>
  <c r="M212" i="4"/>
  <c r="M202" i="4"/>
  <c r="M201" i="4"/>
  <c r="M188" i="4"/>
  <c r="M186" i="4"/>
  <c r="M187" i="4"/>
  <c r="M185" i="4"/>
  <c r="M171" i="4"/>
  <c r="M172" i="4"/>
  <c r="M173" i="4"/>
  <c r="M174" i="4"/>
  <c r="M160" i="4"/>
  <c r="M159" i="4"/>
  <c r="M71" i="4"/>
  <c r="M73" i="4"/>
  <c r="M74" i="4"/>
  <c r="M72" i="4"/>
  <c r="M46" i="4"/>
  <c r="M48" i="4"/>
  <c r="M47" i="4"/>
  <c r="M49" i="4"/>
  <c r="M239" i="4"/>
  <c r="M240" i="4"/>
  <c r="M238" i="4"/>
  <c r="M250" i="4"/>
  <c r="M247" i="4"/>
  <c r="M248" i="4"/>
  <c r="M249" i="4"/>
  <c r="M252" i="4"/>
  <c r="M251" i="4"/>
  <c r="M260" i="4"/>
  <c r="M246" i="4"/>
  <c r="M229" i="4"/>
  <c r="M181" i="4"/>
  <c r="K167" i="4"/>
  <c r="M167" i="4" s="1"/>
  <c r="K15" i="4"/>
  <c r="K58" i="4" l="1"/>
  <c r="M58" i="4" s="1"/>
  <c r="K59" i="4"/>
  <c r="K60" i="4"/>
  <c r="M60" i="4" l="1"/>
  <c r="M59" i="4"/>
  <c r="W4" i="7"/>
  <c r="Z3" i="7" l="1"/>
  <c r="Z4" i="7"/>
  <c r="AC3" i="7"/>
  <c r="AC4" i="7"/>
  <c r="T10" i="7" l="1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7" i="7"/>
  <c r="T8" i="7"/>
  <c r="T9" i="7"/>
  <c r="T5" i="7"/>
  <c r="T6" i="7"/>
  <c r="T4" i="7" l="1"/>
  <c r="W3" i="7" l="1"/>
  <c r="K32" i="4"/>
  <c r="K34" i="4"/>
  <c r="K50" i="4"/>
  <c r="K94" i="4"/>
  <c r="K95" i="4"/>
  <c r="K103" i="4"/>
  <c r="Z39" i="6" l="1"/>
  <c r="Y39" i="6"/>
  <c r="X39" i="6"/>
  <c r="W39" i="6"/>
  <c r="V39" i="6"/>
  <c r="U39" i="6"/>
  <c r="T39" i="6"/>
  <c r="Z38" i="6"/>
  <c r="Y38" i="6"/>
  <c r="X38" i="6"/>
  <c r="W38" i="6"/>
  <c r="V38" i="6"/>
  <c r="U38" i="6"/>
  <c r="T38" i="6"/>
  <c r="Z37" i="6"/>
  <c r="Y37" i="6"/>
  <c r="X37" i="6"/>
  <c r="W37" i="6"/>
  <c r="V37" i="6"/>
  <c r="U37" i="6"/>
  <c r="T37" i="6"/>
  <c r="Z36" i="6"/>
  <c r="Y36" i="6"/>
  <c r="X36" i="6"/>
  <c r="W36" i="6"/>
  <c r="V36" i="6"/>
  <c r="U36" i="6"/>
  <c r="T36" i="6"/>
  <c r="Z35" i="6"/>
  <c r="Y35" i="6"/>
  <c r="X35" i="6"/>
  <c r="W35" i="6"/>
  <c r="V35" i="6"/>
  <c r="U35" i="6"/>
  <c r="T35" i="6"/>
  <c r="Z34" i="6"/>
  <c r="Y34" i="6"/>
  <c r="X34" i="6"/>
  <c r="W34" i="6"/>
  <c r="V34" i="6"/>
  <c r="U34" i="6"/>
  <c r="T34" i="6"/>
  <c r="Z33" i="6"/>
  <c r="Y33" i="6"/>
  <c r="X33" i="6"/>
  <c r="W33" i="6"/>
  <c r="V33" i="6"/>
  <c r="U33" i="6"/>
  <c r="T33" i="6"/>
  <c r="Z32" i="6"/>
  <c r="Y32" i="6"/>
  <c r="X32" i="6"/>
  <c r="W32" i="6"/>
  <c r="V32" i="6"/>
  <c r="U32" i="6"/>
  <c r="T32" i="6"/>
  <c r="Z31" i="6"/>
  <c r="Y31" i="6"/>
  <c r="X31" i="6"/>
  <c r="W31" i="6"/>
  <c r="V31" i="6"/>
  <c r="U31" i="6"/>
  <c r="T31" i="6"/>
  <c r="Z30" i="6"/>
  <c r="Y30" i="6"/>
  <c r="X30" i="6"/>
  <c r="W30" i="6"/>
  <c r="V30" i="6"/>
  <c r="U30" i="6"/>
  <c r="T30" i="6"/>
  <c r="Z29" i="6"/>
  <c r="Y29" i="6"/>
  <c r="X29" i="6"/>
  <c r="W29" i="6"/>
  <c r="V29" i="6"/>
  <c r="U29" i="6"/>
  <c r="T29" i="6"/>
  <c r="Z28" i="6"/>
  <c r="Y28" i="6"/>
  <c r="X28" i="6"/>
  <c r="W28" i="6"/>
  <c r="V28" i="6"/>
  <c r="U28" i="6"/>
  <c r="T28" i="6"/>
  <c r="Z27" i="6"/>
  <c r="Y27" i="6"/>
  <c r="X27" i="6"/>
  <c r="W27" i="6"/>
  <c r="V27" i="6"/>
  <c r="U27" i="6"/>
  <c r="T27" i="6"/>
  <c r="Z26" i="6"/>
  <c r="Y26" i="6"/>
  <c r="X26" i="6"/>
  <c r="W26" i="6"/>
  <c r="V26" i="6"/>
  <c r="U26" i="6"/>
  <c r="T26" i="6"/>
  <c r="Z25" i="6"/>
  <c r="Y25" i="6"/>
  <c r="X25" i="6"/>
  <c r="W25" i="6"/>
  <c r="V25" i="6"/>
  <c r="U25" i="6"/>
  <c r="T25" i="6"/>
  <c r="Z24" i="6"/>
  <c r="Y24" i="6"/>
  <c r="X24" i="6"/>
  <c r="W24" i="6"/>
  <c r="V24" i="6"/>
  <c r="U24" i="6"/>
  <c r="T24" i="6"/>
  <c r="Z23" i="6"/>
  <c r="Y23" i="6"/>
  <c r="X23" i="6"/>
  <c r="W23" i="6"/>
  <c r="V23" i="6"/>
  <c r="U23" i="6"/>
  <c r="T23" i="6"/>
  <c r="Z22" i="6"/>
  <c r="Y22" i="6"/>
  <c r="X22" i="6"/>
  <c r="W22" i="6"/>
  <c r="V22" i="6"/>
  <c r="U22" i="6"/>
  <c r="T22" i="6"/>
  <c r="Z21" i="6"/>
  <c r="Y21" i="6"/>
  <c r="X21" i="6"/>
  <c r="W21" i="6"/>
  <c r="V21" i="6"/>
  <c r="U21" i="6"/>
  <c r="T21" i="6"/>
  <c r="Z20" i="6"/>
  <c r="Y20" i="6"/>
  <c r="X20" i="6"/>
  <c r="W20" i="6"/>
  <c r="V20" i="6"/>
  <c r="U20" i="6"/>
  <c r="T20" i="6"/>
  <c r="Z19" i="6"/>
  <c r="Y19" i="6"/>
  <c r="X19" i="6"/>
  <c r="W19" i="6"/>
  <c r="V19" i="6"/>
  <c r="U19" i="6"/>
  <c r="T19" i="6"/>
  <c r="Z18" i="6"/>
  <c r="Y18" i="6"/>
  <c r="X18" i="6"/>
  <c r="W18" i="6"/>
  <c r="V18" i="6"/>
  <c r="U18" i="6"/>
  <c r="T18" i="6"/>
  <c r="Z17" i="6"/>
  <c r="Y17" i="6"/>
  <c r="X17" i="6"/>
  <c r="W17" i="6"/>
  <c r="V17" i="6"/>
  <c r="U17" i="6"/>
  <c r="T17" i="6"/>
  <c r="Z16" i="6"/>
  <c r="Y16" i="6"/>
  <c r="X16" i="6"/>
  <c r="W16" i="6"/>
  <c r="V16" i="6"/>
  <c r="U16" i="6"/>
  <c r="T16" i="6"/>
  <c r="Z15" i="6"/>
  <c r="Y15" i="6"/>
  <c r="X15" i="6"/>
  <c r="W15" i="6"/>
  <c r="V15" i="6"/>
  <c r="U15" i="6"/>
  <c r="T15" i="6"/>
  <c r="Z14" i="6"/>
  <c r="Y14" i="6"/>
  <c r="X14" i="6"/>
  <c r="W14" i="6"/>
  <c r="V14" i="6"/>
  <c r="U14" i="6"/>
  <c r="T14" i="6"/>
  <c r="Z13" i="6"/>
  <c r="Y13" i="6"/>
  <c r="X13" i="6"/>
  <c r="W13" i="6"/>
  <c r="V13" i="6"/>
  <c r="U13" i="6"/>
  <c r="T13" i="6"/>
  <c r="Z12" i="6"/>
  <c r="Y12" i="6"/>
  <c r="X12" i="6"/>
  <c r="W12" i="6"/>
  <c r="V12" i="6"/>
  <c r="U12" i="6"/>
  <c r="T12" i="6"/>
  <c r="Z11" i="6"/>
  <c r="Y11" i="6"/>
  <c r="X11" i="6"/>
  <c r="W11" i="6"/>
  <c r="V11" i="6"/>
  <c r="U11" i="6"/>
  <c r="T11" i="6"/>
  <c r="Z10" i="6"/>
  <c r="Y10" i="6"/>
  <c r="X10" i="6"/>
  <c r="W10" i="6"/>
  <c r="V10" i="6"/>
  <c r="U10" i="6"/>
  <c r="T10" i="6"/>
  <c r="Z9" i="6"/>
  <c r="Y9" i="6"/>
  <c r="X9" i="6"/>
  <c r="W9" i="6"/>
  <c r="V9" i="6"/>
  <c r="U9" i="6"/>
  <c r="T9" i="6"/>
  <c r="Z8" i="6"/>
  <c r="Y8" i="6"/>
  <c r="X8" i="6"/>
  <c r="W8" i="6"/>
  <c r="V8" i="6"/>
  <c r="U8" i="6"/>
  <c r="T8" i="6"/>
  <c r="Z7" i="6"/>
  <c r="Y7" i="6"/>
  <c r="X7" i="6"/>
  <c r="W7" i="6"/>
  <c r="V7" i="6"/>
  <c r="U7" i="6"/>
  <c r="T7" i="6"/>
  <c r="Z6" i="6"/>
  <c r="Y6" i="6"/>
  <c r="X6" i="6"/>
  <c r="W6" i="6"/>
  <c r="V6" i="6"/>
  <c r="U6" i="6"/>
  <c r="T6" i="6"/>
  <c r="Z5" i="6"/>
  <c r="Y5" i="6"/>
  <c r="X5" i="6"/>
  <c r="W5" i="6"/>
  <c r="V5" i="6"/>
  <c r="U5" i="6"/>
  <c r="T5" i="6"/>
  <c r="Z4" i="6"/>
  <c r="Y4" i="6"/>
  <c r="X4" i="6"/>
  <c r="W4" i="6"/>
  <c r="V4" i="6"/>
  <c r="U4" i="6"/>
  <c r="T4" i="6"/>
  <c r="Z3" i="6"/>
  <c r="Y3" i="6"/>
  <c r="X3" i="6"/>
  <c r="W3" i="6"/>
  <c r="V3" i="6"/>
  <c r="U3" i="6"/>
  <c r="T3" i="6"/>
  <c r="Z2" i="6"/>
  <c r="Y2" i="6"/>
  <c r="X2" i="6"/>
  <c r="W2" i="6"/>
  <c r="V2" i="6"/>
  <c r="U2" i="6"/>
  <c r="T2" i="6"/>
  <c r="AA4" i="6" l="1"/>
  <c r="AA8" i="6"/>
  <c r="AA12" i="6"/>
  <c r="AA16" i="6"/>
  <c r="AA20" i="6"/>
  <c r="AA24" i="6"/>
  <c r="AA28" i="6"/>
  <c r="AA32" i="6"/>
  <c r="AA36" i="6"/>
  <c r="AA3" i="6"/>
  <c r="AA7" i="6"/>
  <c r="AA15" i="6"/>
  <c r="AA19" i="6"/>
  <c r="AA23" i="6"/>
  <c r="AA31" i="6"/>
  <c r="AA35" i="6"/>
  <c r="AA39" i="6"/>
  <c r="AA2" i="6"/>
  <c r="AA6" i="6"/>
  <c r="AA14" i="6"/>
  <c r="AA18" i="6"/>
  <c r="AA22" i="6"/>
  <c r="AA26" i="6"/>
  <c r="AA30" i="6"/>
  <c r="AA34" i="6"/>
  <c r="AA38" i="6"/>
  <c r="AA11" i="6"/>
  <c r="AA27" i="6"/>
  <c r="AA10" i="6"/>
  <c r="AA5" i="6"/>
  <c r="AA9" i="6"/>
  <c r="AA13" i="6"/>
  <c r="AA17" i="6"/>
  <c r="AA21" i="6"/>
  <c r="AA25" i="6"/>
  <c r="AA29" i="6"/>
  <c r="AA33" i="6"/>
  <c r="AA37" i="6"/>
  <c r="N237" i="4"/>
  <c r="N247" i="4"/>
  <c r="N245" i="4"/>
  <c r="N60" i="4"/>
  <c r="N71" i="4"/>
  <c r="N178" i="4"/>
  <c r="N190" i="4"/>
  <c r="N169" i="4"/>
  <c r="N51" i="4"/>
  <c r="N133" i="4"/>
  <c r="N46" i="4"/>
  <c r="N153" i="4"/>
  <c r="N186" i="4"/>
  <c r="N142" i="4"/>
  <c r="N198" i="4"/>
  <c r="N38" i="4"/>
  <c r="N74" i="4"/>
  <c r="N70" i="4"/>
  <c r="N250" i="4"/>
  <c r="N184" i="4"/>
  <c r="N174" i="4"/>
  <c r="N78" i="4"/>
  <c r="N244" i="4"/>
  <c r="N140" i="4"/>
  <c r="N261" i="4"/>
  <c r="N36" i="4"/>
  <c r="N255" i="4"/>
  <c r="N227" i="4"/>
  <c r="N111" i="4"/>
  <c r="N193" i="4"/>
  <c r="N230" i="4"/>
  <c r="N188" i="4"/>
  <c r="N212" i="4"/>
  <c r="N43" i="4"/>
  <c r="N222" i="4"/>
  <c r="N258" i="4"/>
  <c r="N54" i="4"/>
  <c r="N49" i="4"/>
  <c r="N236" i="4"/>
  <c r="N73" i="4"/>
  <c r="N159" i="4"/>
  <c r="N81" i="4"/>
  <c r="N44" i="4"/>
  <c r="N170" i="4"/>
  <c r="N204" i="4"/>
  <c r="N219" i="4"/>
  <c r="N41" i="4"/>
  <c r="N83" i="4"/>
  <c r="N197" i="4"/>
  <c r="N223" i="4"/>
  <c r="N108" i="4"/>
  <c r="N187" i="4"/>
  <c r="N168" i="4"/>
  <c r="N177" i="4"/>
  <c r="N231" i="4"/>
  <c r="N52" i="4"/>
  <c r="N182" i="4"/>
  <c r="N123" i="4"/>
  <c r="N228" i="4"/>
  <c r="N234" i="4"/>
  <c r="N39" i="4"/>
  <c r="N215" i="4"/>
  <c r="N191" i="4"/>
  <c r="N205" i="4"/>
  <c r="N208" i="4"/>
  <c r="N82" i="4"/>
  <c r="N240" i="4"/>
  <c r="N199" i="4"/>
  <c r="N172" i="4"/>
  <c r="N195" i="4"/>
  <c r="N211" i="4"/>
  <c r="N80" i="4"/>
  <c r="N72" i="4"/>
  <c r="N164" i="4"/>
  <c r="N248" i="4"/>
  <c r="N207" i="4"/>
  <c r="N57" i="4"/>
  <c r="N241" i="4"/>
  <c r="N75" i="4"/>
  <c r="N163" i="4"/>
  <c r="N217" i="4"/>
  <c r="N152" i="4"/>
  <c r="N259" i="4"/>
  <c r="N225" i="4"/>
  <c r="N160" i="4"/>
  <c r="N226" i="4"/>
  <c r="N47" i="4"/>
  <c r="N232" i="4"/>
  <c r="N249" i="4"/>
  <c r="N192" i="4"/>
  <c r="N214" i="4"/>
  <c r="N196" i="4"/>
  <c r="N209" i="4"/>
  <c r="N48" i="4"/>
  <c r="N243" i="4"/>
  <c r="N235" i="4"/>
  <c r="N239" i="4"/>
  <c r="N221" i="4"/>
  <c r="N183" i="4"/>
  <c r="N40" i="4"/>
  <c r="N218" i="4"/>
  <c r="N202" i="4"/>
  <c r="N200" i="4"/>
  <c r="N257" i="4"/>
  <c r="N176" i="4"/>
  <c r="N165" i="4"/>
  <c r="N173" i="4"/>
  <c r="N252" i="4"/>
  <c r="N53" i="4"/>
  <c r="N77" i="4"/>
  <c r="N254" i="4"/>
  <c r="N154" i="4"/>
  <c r="N35" i="4"/>
  <c r="N180" i="4"/>
  <c r="N246" i="4"/>
  <c r="N229" i="4"/>
  <c r="N175" i="4"/>
  <c r="N253" i="4"/>
  <c r="N260" i="4"/>
  <c r="N224" i="4"/>
  <c r="N251" i="4"/>
  <c r="N181" i="4"/>
  <c r="N256" i="4"/>
  <c r="N194" i="4"/>
  <c r="N185" i="4"/>
  <c r="N167" i="4"/>
  <c r="N242" i="4"/>
  <c r="N166" i="4"/>
  <c r="N179" i="4"/>
  <c r="N262" i="4"/>
  <c r="N216" i="4"/>
  <c r="N213" i="4"/>
  <c r="N162" i="4"/>
  <c r="N210" i="4"/>
  <c r="N233" i="4"/>
  <c r="N201" i="4"/>
  <c r="N238" i="4"/>
  <c r="N203" i="4"/>
  <c r="N171" i="4"/>
  <c r="N220" i="4"/>
  <c r="N189" i="4"/>
  <c r="N161" i="4"/>
  <c r="N206" i="4"/>
  <c r="N58" i="4"/>
  <c r="N59" i="4"/>
  <c r="K158" i="4"/>
  <c r="K150" i="4"/>
  <c r="K149" i="4"/>
  <c r="K148" i="4"/>
  <c r="K147" i="4"/>
  <c r="K146" i="4"/>
  <c r="K145" i="4"/>
  <c r="K144" i="4"/>
  <c r="K143" i="4"/>
  <c r="K138" i="4"/>
  <c r="K137" i="4"/>
  <c r="K135" i="4"/>
  <c r="K134" i="4"/>
  <c r="K132" i="4"/>
  <c r="K120" i="4"/>
  <c r="K118" i="4"/>
  <c r="K117" i="4"/>
  <c r="K116" i="4"/>
  <c r="K115" i="4"/>
  <c r="K114" i="4"/>
  <c r="K113" i="4"/>
  <c r="K110" i="4"/>
  <c r="K107" i="4"/>
  <c r="K106" i="4"/>
  <c r="K102" i="4"/>
  <c r="K101" i="4"/>
  <c r="K100" i="4"/>
  <c r="M103" i="4"/>
  <c r="N103" i="4" s="1"/>
  <c r="K98" i="4"/>
  <c r="K97" i="4"/>
  <c r="K96" i="4"/>
  <c r="K91" i="4" l="1"/>
  <c r="K125" i="4"/>
  <c r="M125" i="4" s="1"/>
  <c r="N125" i="4" s="1"/>
  <c r="K127" i="4"/>
  <c r="M127" i="4" s="1"/>
  <c r="N127" i="4" s="1"/>
  <c r="K105" i="4"/>
  <c r="M105" i="4" s="1"/>
  <c r="N105" i="4" s="1"/>
  <c r="K109" i="4"/>
  <c r="M109" i="4" s="1"/>
  <c r="N109" i="4" s="1"/>
  <c r="K122" i="4"/>
  <c r="M122" i="4" s="1"/>
  <c r="N122" i="4" s="1"/>
  <c r="K129" i="4"/>
  <c r="M129" i="4" s="1"/>
  <c r="N129" i="4" s="1"/>
  <c r="K156" i="4"/>
  <c r="M156" i="4" s="1"/>
  <c r="N156" i="4" s="1"/>
  <c r="K89" i="4"/>
  <c r="M89" i="4" s="1"/>
  <c r="N89" i="4" s="1"/>
  <c r="K131" i="4"/>
  <c r="M131" i="4" s="1"/>
  <c r="N131" i="4" s="1"/>
  <c r="M120" i="4"/>
  <c r="N120" i="4" s="1"/>
  <c r="M138" i="4"/>
  <c r="N138" i="4" s="1"/>
  <c r="M146" i="4"/>
  <c r="N146" i="4" s="1"/>
  <c r="M149" i="4"/>
  <c r="N149" i="4" s="1"/>
  <c r="M135" i="4"/>
  <c r="N135" i="4" s="1"/>
  <c r="M116" i="4"/>
  <c r="N116" i="4" s="1"/>
  <c r="M106" i="4"/>
  <c r="N106" i="4" s="1"/>
  <c r="M114" i="4"/>
  <c r="N114" i="4" s="1"/>
  <c r="M117" i="4"/>
  <c r="N117" i="4" s="1"/>
  <c r="M132" i="4"/>
  <c r="N132" i="4" s="1"/>
  <c r="M144" i="4"/>
  <c r="N144" i="4" s="1"/>
  <c r="M147" i="4"/>
  <c r="N147" i="4" s="1"/>
  <c r="M158" i="4"/>
  <c r="N158" i="4" s="1"/>
  <c r="M113" i="4"/>
  <c r="N113" i="4" s="1"/>
  <c r="M150" i="4"/>
  <c r="N150" i="4" s="1"/>
  <c r="M102" i="4"/>
  <c r="N102" i="4" s="1"/>
  <c r="M107" i="4"/>
  <c r="N107" i="4" s="1"/>
  <c r="M110" i="4"/>
  <c r="N110" i="4" s="1"/>
  <c r="M115" i="4"/>
  <c r="N115" i="4" s="1"/>
  <c r="M118" i="4"/>
  <c r="N118" i="4" s="1"/>
  <c r="M134" i="4"/>
  <c r="N134" i="4" s="1"/>
  <c r="M137" i="4"/>
  <c r="N137" i="4" s="1"/>
  <c r="M143" i="4"/>
  <c r="N143" i="4" s="1"/>
  <c r="M145" i="4"/>
  <c r="N145" i="4" s="1"/>
  <c r="M148" i="4"/>
  <c r="N148" i="4" s="1"/>
  <c r="K141" i="4"/>
  <c r="M141" i="4" s="1"/>
  <c r="N141" i="4" s="1"/>
  <c r="K121" i="4"/>
  <c r="M121" i="4" s="1"/>
  <c r="N121" i="4" s="1"/>
  <c r="K124" i="4"/>
  <c r="M124" i="4" s="1"/>
  <c r="N124" i="4" s="1"/>
  <c r="K119" i="4"/>
  <c r="M119" i="4" s="1"/>
  <c r="N119" i="4" s="1"/>
  <c r="K157" i="4"/>
  <c r="M157" i="4" s="1"/>
  <c r="N157" i="4" s="1"/>
  <c r="K112" i="4"/>
  <c r="M112" i="4" s="1"/>
  <c r="N112" i="4" s="1"/>
  <c r="K126" i="4"/>
  <c r="M126" i="4" s="1"/>
  <c r="N126" i="4" s="1"/>
  <c r="K128" i="4"/>
  <c r="M128" i="4" s="1"/>
  <c r="N128" i="4" s="1"/>
  <c r="K136" i="4"/>
  <c r="M136" i="4" s="1"/>
  <c r="N136" i="4" s="1"/>
  <c r="K139" i="4"/>
  <c r="M139" i="4" s="1"/>
  <c r="N139" i="4" s="1"/>
  <c r="K155" i="4"/>
  <c r="M155" i="4" s="1"/>
  <c r="N155" i="4" s="1"/>
  <c r="K87" i="4"/>
  <c r="K88" i="4"/>
  <c r="K99" i="4"/>
  <c r="K84" i="4"/>
  <c r="K86" i="4"/>
  <c r="K85" i="4"/>
  <c r="K90" i="4"/>
  <c r="K92" i="4"/>
  <c r="K93" i="4"/>
  <c r="K104" i="4"/>
  <c r="M104" i="4" s="1"/>
  <c r="N104" i="4" s="1"/>
  <c r="K130" i="4"/>
  <c r="M130" i="4" s="1"/>
  <c r="N130" i="4" s="1"/>
  <c r="K151" i="4"/>
  <c r="M151" i="4" s="1"/>
  <c r="N151" i="4" s="1"/>
  <c r="K79" i="4"/>
  <c r="K76" i="4"/>
  <c r="K68" i="4"/>
  <c r="K67" i="4"/>
  <c r="K66" i="4"/>
  <c r="K64" i="4"/>
  <c r="K63" i="4"/>
  <c r="K56" i="4"/>
  <c r="K45" i="4"/>
  <c r="K31" i="4"/>
  <c r="M32" i="4"/>
  <c r="N32" i="4" s="1"/>
  <c r="M34" i="4"/>
  <c r="N34" i="4" s="1"/>
  <c r="K42" i="4"/>
  <c r="M42" i="4" s="1"/>
  <c r="N42" i="4" s="1"/>
  <c r="M50" i="4"/>
  <c r="N50" i="4" s="1"/>
  <c r="M91" i="4"/>
  <c r="N91" i="4" s="1"/>
  <c r="M94" i="4"/>
  <c r="N94" i="4" s="1"/>
  <c r="M95" i="4"/>
  <c r="N95" i="4" s="1"/>
  <c r="M96" i="4"/>
  <c r="N96" i="4" s="1"/>
  <c r="M97" i="4"/>
  <c r="N97" i="4" s="1"/>
  <c r="M98" i="4"/>
  <c r="N98" i="4" s="1"/>
  <c r="M100" i="4"/>
  <c r="N100" i="4" s="1"/>
  <c r="M101" i="4"/>
  <c r="N101" i="4" s="1"/>
  <c r="K30" i="4"/>
  <c r="M30" i="4" s="1"/>
  <c r="N30" i="4" s="1"/>
  <c r="K29" i="4"/>
  <c r="K26" i="4"/>
  <c r="E22" i="4"/>
  <c r="K22" i="4" s="1"/>
  <c r="K18" i="4"/>
  <c r="K16" i="4"/>
  <c r="K25" i="4"/>
  <c r="M25" i="4" s="1"/>
  <c r="N25" i="4" s="1"/>
  <c r="K28" i="4"/>
  <c r="M28" i="4" s="1"/>
  <c r="N28" i="4" s="1"/>
  <c r="K19" i="4"/>
  <c r="M19" i="4" s="1"/>
  <c r="N19" i="4" s="1"/>
  <c r="K23" i="4"/>
  <c r="K55" i="4" l="1"/>
  <c r="M55" i="4" s="1"/>
  <c r="N55" i="4" s="1"/>
  <c r="M29" i="4"/>
  <c r="N29" i="4" s="1"/>
  <c r="K17" i="4"/>
  <c r="M17" i="4" s="1"/>
  <c r="N17" i="4" s="1"/>
  <c r="M15" i="4"/>
  <c r="N15" i="4" s="1"/>
  <c r="K24" i="4"/>
  <c r="M24" i="4" s="1"/>
  <c r="N24" i="4" s="1"/>
  <c r="M90" i="4"/>
  <c r="N90" i="4" s="1"/>
  <c r="M84" i="4"/>
  <c r="N84" i="4" s="1"/>
  <c r="M16" i="4"/>
  <c r="N16" i="4" s="1"/>
  <c r="M45" i="4"/>
  <c r="N45" i="4" s="1"/>
  <c r="M66" i="4"/>
  <c r="N66" i="4" s="1"/>
  <c r="M85" i="4"/>
  <c r="N85" i="4" s="1"/>
  <c r="M99" i="4"/>
  <c r="N99" i="4" s="1"/>
  <c r="M14" i="4"/>
  <c r="N14" i="4" s="1"/>
  <c r="M18" i="4"/>
  <c r="N18" i="4" s="1"/>
  <c r="M63" i="4"/>
  <c r="N63" i="4" s="1"/>
  <c r="M22" i="4"/>
  <c r="N22" i="4" s="1"/>
  <c r="M93" i="4"/>
  <c r="N93" i="4" s="1"/>
  <c r="M88" i="4"/>
  <c r="N88" i="4" s="1"/>
  <c r="M56" i="4"/>
  <c r="N56" i="4" s="1"/>
  <c r="M64" i="4"/>
  <c r="N64" i="4" s="1"/>
  <c r="M67" i="4"/>
  <c r="N67" i="4" s="1"/>
  <c r="M76" i="4"/>
  <c r="N76" i="4" s="1"/>
  <c r="M23" i="4"/>
  <c r="N23" i="4" s="1"/>
  <c r="M26" i="4"/>
  <c r="N26" i="4" s="1"/>
  <c r="M31" i="4"/>
  <c r="N31" i="4" s="1"/>
  <c r="M68" i="4"/>
  <c r="N68" i="4" s="1"/>
  <c r="M79" i="4"/>
  <c r="N79" i="4" s="1"/>
  <c r="M92" i="4"/>
  <c r="N92" i="4" s="1"/>
  <c r="M86" i="4"/>
  <c r="N86" i="4" s="1"/>
  <c r="M87" i="4"/>
  <c r="N87" i="4" s="1"/>
  <c r="M13" i="4"/>
  <c r="N13" i="4" s="1"/>
  <c r="K21" i="4"/>
  <c r="M21" i="4" s="1"/>
  <c r="N21" i="4" s="1"/>
  <c r="K69" i="4"/>
  <c r="M69" i="4" s="1"/>
  <c r="N69" i="4" s="1"/>
  <c r="K27" i="4"/>
  <c r="M27" i="4" s="1"/>
  <c r="N27" i="4" s="1"/>
  <c r="K37" i="4"/>
  <c r="M37" i="4" s="1"/>
  <c r="N37" i="4" s="1"/>
  <c r="K61" i="4"/>
  <c r="M61" i="4" s="1"/>
  <c r="N61" i="4" s="1"/>
  <c r="K33" i="4"/>
  <c r="M33" i="4" s="1"/>
  <c r="N33" i="4" s="1"/>
  <c r="K62" i="4"/>
  <c r="M62" i="4" s="1"/>
  <c r="N62" i="4" s="1"/>
  <c r="K65" i="4"/>
  <c r="M65" i="4" s="1"/>
  <c r="N65" i="4" s="1"/>
  <c r="K20" i="4"/>
  <c r="M20" i="4" s="1"/>
  <c r="N20" i="4" s="1"/>
</calcChain>
</file>

<file path=xl/sharedStrings.xml><?xml version="1.0" encoding="utf-8"?>
<sst xmlns="http://schemas.openxmlformats.org/spreadsheetml/2006/main" count="1076" uniqueCount="214">
  <si>
    <t>AIRFIELD ASHPALT PAVEMENT</t>
  </si>
  <si>
    <t>SKETCH:</t>
  </si>
  <si>
    <t>CONDITION SURVEY DATA SHEET</t>
  </si>
  <si>
    <t>AIRPORT</t>
  </si>
  <si>
    <t>BRANCH</t>
  </si>
  <si>
    <t>SECTION</t>
  </si>
  <si>
    <t>SAMPLE UNIT</t>
  </si>
  <si>
    <t>SAMPLE AREA</t>
  </si>
  <si>
    <t>SURVEYED BY</t>
  </si>
  <si>
    <t>DATE</t>
  </si>
  <si>
    <t>5. Depression</t>
  </si>
  <si>
    <t>9. Oil Spillage</t>
  </si>
  <si>
    <t>13. Rutting</t>
  </si>
  <si>
    <t>2. Bleeding</t>
  </si>
  <si>
    <t>6. Jet Blast</t>
  </si>
  <si>
    <t>10. Patching</t>
  </si>
  <si>
    <t>14. Shoving from PCC</t>
  </si>
  <si>
    <t>7. PCC Joint Reflection</t>
  </si>
  <si>
    <t>11. Polished Aggregate</t>
  </si>
  <si>
    <t>4. Corrugation</t>
  </si>
  <si>
    <t>12. Ravelling/ Weathering</t>
  </si>
  <si>
    <t>16. Swell</t>
  </si>
  <si>
    <t>DISTRESS SEVERITY</t>
  </si>
  <si>
    <t>QUANTITY</t>
  </si>
  <si>
    <t>TOTAL</t>
  </si>
  <si>
    <t>1. Alligator Crack</t>
  </si>
  <si>
    <t>3. Block Crack</t>
  </si>
  <si>
    <t>15. Slippage Crack</t>
  </si>
  <si>
    <t>8. Long. &amp; Trans. Crack</t>
  </si>
  <si>
    <r>
      <t xml:space="preserve">Tick ( </t>
    </r>
    <r>
      <rPr>
        <sz val="8"/>
        <color theme="1"/>
        <rFont val="Arial Narrow"/>
        <family val="2"/>
      </rPr>
      <t>✔</t>
    </r>
    <r>
      <rPr>
        <sz val="14"/>
        <color theme="1"/>
        <rFont val="Arial Narrow"/>
        <family val="2"/>
      </rPr>
      <t>) if continued from previous sample unit:</t>
    </r>
  </si>
  <si>
    <t>12H</t>
  </si>
  <si>
    <t>AREA</t>
  </si>
  <si>
    <t>RWY 7</t>
  </si>
  <si>
    <t>RWY 8</t>
  </si>
  <si>
    <t>RWY 9</t>
  </si>
  <si>
    <t>RWY 10</t>
  </si>
  <si>
    <t>RWY 11</t>
  </si>
  <si>
    <t>RWY 12</t>
  </si>
  <si>
    <t>RWY 13</t>
  </si>
  <si>
    <t>RWY 14</t>
  </si>
  <si>
    <t>RWY 15</t>
  </si>
  <si>
    <t>RWY 16</t>
  </si>
  <si>
    <t>RWY 17</t>
  </si>
  <si>
    <t>RWY 18</t>
  </si>
  <si>
    <t>RWY 19</t>
  </si>
  <si>
    <t>RWY 20</t>
  </si>
  <si>
    <t>RWY 21</t>
  </si>
  <si>
    <t>RWY 22</t>
  </si>
  <si>
    <t>RWY 23</t>
  </si>
  <si>
    <t>RWY 24</t>
  </si>
  <si>
    <t>RWY 25</t>
  </si>
  <si>
    <t>RWY 26</t>
  </si>
  <si>
    <t>RWY 27</t>
  </si>
  <si>
    <t>RWY 28</t>
  </si>
  <si>
    <t>RWY 29</t>
  </si>
  <si>
    <t>RWY 30</t>
  </si>
  <si>
    <t>RWY 31</t>
  </si>
  <si>
    <t>RWY 32</t>
  </si>
  <si>
    <t>RWY 33</t>
  </si>
  <si>
    <t>RWY 34</t>
  </si>
  <si>
    <t>RWY 35</t>
  </si>
  <si>
    <t>RWY 36</t>
  </si>
  <si>
    <t>RWY 37</t>
  </si>
  <si>
    <t>RWY 38</t>
  </si>
  <si>
    <t>RWY 39</t>
  </si>
  <si>
    <t>RWY 40</t>
  </si>
  <si>
    <t>RWY 41</t>
  </si>
  <si>
    <t>Area</t>
  </si>
  <si>
    <t>10L</t>
  </si>
  <si>
    <t>12L</t>
  </si>
  <si>
    <t>10M</t>
  </si>
  <si>
    <t>1L</t>
  </si>
  <si>
    <t>8L</t>
  </si>
  <si>
    <t>12M</t>
  </si>
  <si>
    <t>5H</t>
  </si>
  <si>
    <t>8M</t>
  </si>
  <si>
    <t>10H</t>
  </si>
  <si>
    <t>1M</t>
  </si>
  <si>
    <t>1H</t>
  </si>
  <si>
    <t>13M</t>
  </si>
  <si>
    <t>13L</t>
  </si>
  <si>
    <t>13H</t>
  </si>
  <si>
    <t>8H</t>
  </si>
  <si>
    <t>5L</t>
  </si>
  <si>
    <t>DENSITY</t>
  </si>
  <si>
    <t>Distress Severity</t>
  </si>
  <si>
    <t>A1</t>
  </si>
  <si>
    <t>A2</t>
  </si>
  <si>
    <t>A3</t>
  </si>
  <si>
    <t>A4</t>
  </si>
  <si>
    <t>A5</t>
  </si>
  <si>
    <t>A6</t>
  </si>
  <si>
    <t>B</t>
  </si>
  <si>
    <t>3H</t>
  </si>
  <si>
    <t>3M</t>
  </si>
  <si>
    <t>3L</t>
  </si>
  <si>
    <t>4H</t>
  </si>
  <si>
    <t>4M</t>
  </si>
  <si>
    <t>4L</t>
  </si>
  <si>
    <t>5M</t>
  </si>
  <si>
    <t>7H</t>
  </si>
  <si>
    <t>7M</t>
  </si>
  <si>
    <t>7L</t>
  </si>
  <si>
    <t>14H</t>
  </si>
  <si>
    <t>14M</t>
  </si>
  <si>
    <t>14L</t>
  </si>
  <si>
    <t>16H</t>
  </si>
  <si>
    <t>16M</t>
  </si>
  <si>
    <t>16L</t>
  </si>
  <si>
    <t>CDV (q= 1)</t>
  </si>
  <si>
    <t>CDV (q= 2)</t>
  </si>
  <si>
    <t>CDV (q= 3)</t>
  </si>
  <si>
    <t>CDV (q= 4)</t>
  </si>
  <si>
    <t>CDV (q= 6)</t>
  </si>
  <si>
    <t>DEDUCT VALUES</t>
  </si>
  <si>
    <t>DATE:</t>
  </si>
  <si>
    <t>TDV</t>
  </si>
  <si>
    <t>CDV</t>
  </si>
  <si>
    <t>PCI</t>
  </si>
  <si>
    <t xml:space="preserve">
dfsdf
</t>
  </si>
  <si>
    <t>Iteration No.</t>
  </si>
  <si>
    <t>Sort Here:</t>
  </si>
  <si>
    <t>Rating</t>
  </si>
  <si>
    <t>NA</t>
  </si>
  <si>
    <t>Deduct Values</t>
  </si>
  <si>
    <t>RWY:</t>
  </si>
  <si>
    <t>Overall:</t>
  </si>
  <si>
    <t>ASTM D5340-98</t>
  </si>
  <si>
    <t>PCI DETERMINATION REPORT</t>
  </si>
  <si>
    <t>RWY 1</t>
  </si>
  <si>
    <t>RWY 2</t>
  </si>
  <si>
    <t>RWY 3</t>
  </si>
  <si>
    <t>RWY 4</t>
  </si>
  <si>
    <t>RWY 5</t>
  </si>
  <si>
    <t>RWY 6</t>
  </si>
  <si>
    <t>RWY 42</t>
  </si>
  <si>
    <t>RWY 43</t>
  </si>
  <si>
    <t>RWY 44</t>
  </si>
  <si>
    <t>RWY 45</t>
  </si>
  <si>
    <t>RWY 46</t>
  </si>
  <si>
    <t>RWY 47</t>
  </si>
  <si>
    <t>RWY 48</t>
  </si>
  <si>
    <t>RWY 49</t>
  </si>
  <si>
    <t>RWY 50</t>
  </si>
  <si>
    <t>RWY 51</t>
  </si>
  <si>
    <t>RWY 52</t>
  </si>
  <si>
    <t>RWY 53</t>
  </si>
  <si>
    <t>RWY 54</t>
  </si>
  <si>
    <t>RWY 55</t>
  </si>
  <si>
    <t>RWY 56</t>
  </si>
  <si>
    <t>RWY 57</t>
  </si>
  <si>
    <t>RWY 58</t>
  </si>
  <si>
    <t>RWY 59</t>
  </si>
  <si>
    <t>RWY 60</t>
  </si>
  <si>
    <t>RWY 61</t>
  </si>
  <si>
    <t>RWY 62</t>
  </si>
  <si>
    <t>RWY 63</t>
  </si>
  <si>
    <t>RWY 64</t>
  </si>
  <si>
    <t>APR 66</t>
  </si>
  <si>
    <t>APR 67</t>
  </si>
  <si>
    <t>APR 68</t>
  </si>
  <si>
    <t>APR 69</t>
  </si>
  <si>
    <t>APR 70</t>
  </si>
  <si>
    <t>APR 71</t>
  </si>
  <si>
    <t>APR 72</t>
  </si>
  <si>
    <t>APR 65</t>
  </si>
  <si>
    <t>curve</t>
  </si>
  <si>
    <t>equation</t>
  </si>
  <si>
    <t>AIRPORT FLEXIBLE PAVEMENT</t>
  </si>
  <si>
    <t>Sample Unit</t>
  </si>
  <si>
    <t>DISTRESS SURVEY DATA ENTRY SHEET</t>
  </si>
  <si>
    <t>1M &amp; 0.3 &amp; -1.6 &amp; 0.8 &amp; 2.7 &amp; 2.4 &amp; 21.7 &amp; 29.8\\</t>
  </si>
  <si>
    <t>3H &amp; 0.3 &amp; -0.3 &amp; -0.7 &amp; 0.6 &amp; 7.1 &amp; 15.6 &amp; 18.9\\</t>
  </si>
  <si>
    <t>4L &amp; 0.3 &amp; -0.3 &amp; -0.3 &amp; 0.7 &amp; 6.5 &amp; 13.5 &amp; 9.3\\</t>
  </si>
  <si>
    <t>5H &amp; 0.3 &amp; -0.2 &amp; -0.9 &amp; 1.6 &amp; 6.8 &amp; 18.6 &amp; 25.6\\</t>
  </si>
  <si>
    <t>5M &amp; 0.2 &amp; -0.1 &amp; 0.3 &amp; -0.9 &amp; 7.1 &amp; 18.7 &amp; 15.1\\</t>
  </si>
  <si>
    <t>5L &amp; -0.2 &amp; 0.9 &amp; -0.5 &amp; -1.9 &amp; 8.2 &amp; 14.6 &amp; 5.9\\</t>
  </si>
  <si>
    <t>6 &amp; 2.3 &amp; -7.8 &amp; 0.2 &amp; 12.5 &amp; 5.4 &amp; 7.3 &amp; 5.4\\</t>
  </si>
  <si>
    <t>7H &amp; 0.1 &amp; -0.2 &amp; -2.2 &amp; -0.5 &amp; 14.8 &amp; 27.3 &amp; 15.3\\</t>
  </si>
  <si>
    <t>8L &amp; 1.7 &amp; -5.6 &amp; -0.5 &amp; 10.9 &amp; 7.2 &amp; 4.8 &amp; 4.9\\</t>
  </si>
  <si>
    <t>10M &amp; 0.5 &amp; -1.9 &amp; 0.6 &amp; 5.2 &amp; 6.5 &amp; 7.2 &amp; 9.5\\</t>
  </si>
  <si>
    <t>10L &amp; 0.5 &amp; -1.3 &amp; -0.4 &amp; 3.4 &amp; 4.4 &amp; 4.2 &amp; 3.6\\</t>
  </si>
  <si>
    <t>12H &amp; -0.2 &amp; 3.5 &amp; -8.1 &amp; -5.9 &amp; 20.3 &amp; 25.9 &amp; 16.8\\</t>
  </si>
  <si>
    <t>12M &amp; -0.8 &amp; 1.9 &amp; 1.5 &amp; -1.4 &amp; 3.3 &amp; 7.7 &amp; 8.4\\</t>
  </si>
  <si>
    <t>12L &amp; 0.1 &amp; -0.4 &amp; 0.1 &amp; 1.4 &amp; 2.6 &amp; 3.2 &amp; 2.9\\</t>
  </si>
  <si>
    <t>13H &amp; 0.2 &amp; -0.3 &amp; 0.6 &amp; 1.6 &amp; 5.3 &amp; 19.5 &amp; 34.5\\</t>
  </si>
  <si>
    <t>13L &amp; 0.1 &amp; -0.4 &amp; 0.2 &amp; 1.2 &amp; 2.8 &amp; 9.1 &amp; 15.3\\</t>
  </si>
  <si>
    <t>14H &amp; 0.1 &amp; -0.6 &amp; 0.6 &amp; 0.8 &amp; 4.4 &amp; 19.6 &amp; 24.9\\</t>
  </si>
  <si>
    <t>14L &amp; 0.1 &amp; -0.6 &amp; 0.2 &amp; 1.2 &amp; 3.5 &amp; 7.5 &amp; 6.6\\</t>
  </si>
  <si>
    <t>15 &amp; 3.1 &amp; -7.9 &amp; -6.3 &amp; 14.1 &amp; 19.5 &amp; 16.5 &amp; 11.8\\</t>
  </si>
  <si>
    <t>16H &amp; -0.3 &amp; 0.7 &amp; -0.7 &amp; 2.6 &amp; 9.4 &amp; 10.8 &amp; 33.6\\</t>
  </si>
  <si>
    <t>16M &amp; 0.2 &amp; -0.6 &amp; -1.1 &amp; 4.3 &amp; 8.5 &amp; 8.2 &amp; 14.1\\</t>
  </si>
  <si>
    <t>16L &amp; 0.1 &amp; -0.3 &amp; -0.4 &amp; 2.5 &amp; 5.9 &amp; 5.4 &amp; 3.3\\</t>
  </si>
  <si>
    <t>1H &amp; 1.0 &amp; -4.3 &amp; 0.1 &amp; 7.8 &amp; 5.4 &amp; 23.4 &amp; 37.1\\</t>
  </si>
  <si>
    <t>1L &amp; 0.0 &amp; -0.2 &amp; 2.0 &amp; -2.6 &amp; 2.4 &amp; 20.7 &amp; 20.9\\</t>
  </si>
  <si>
    <t>2.0 &amp; 3.7 &amp; -9.4 &amp; -6.6 &amp; 17.9 &amp; 16.8 &amp; 10.7 &amp; 5.7\\</t>
  </si>
  <si>
    <t>3M &amp; 0.9 &amp; -1.9 &amp; 0.0 &amp; 2.3 &amp; 3.5 &amp; 7.3 &amp; 11.3\\</t>
  </si>
  <si>
    <t>3L &amp; 0.2 &amp; -0.3 &amp; 0.0 &amp; 0.6 &amp; 3.0 &amp; 5.6 &amp; 7.3\\</t>
  </si>
  <si>
    <t>4H &amp; 1.0 &amp; -0.9 &amp; -1.2 &amp; 2.0 &amp; 7.0 &amp; 27.0 &amp; 32.5\\</t>
  </si>
  <si>
    <t>4M &amp; 0.8 &amp; -1.3 &amp; -0.3 &amp; 1.2 &amp; 8.0 &amp; 21.4 &amp; 18.8\\</t>
  </si>
  <si>
    <t>7L &amp; -0.1 &amp; 0.3 &amp; -0.7 &amp; -0.3 &amp; 6.4 &amp; 8,0 &amp; 2.4\\</t>
  </si>
  <si>
    <t>8H &amp; 0.7 &amp; -3.2 &amp; 0.8 &amp; 6.1 &amp; 9.5 &amp; 20.1 &amp; 20.0\\</t>
  </si>
  <si>
    <t>8M &amp; 1.1 &amp; -5.0 &amp; 1.5 &amp; 9.0 &amp; 6.8 &amp; 11.9 &amp; 11.0\\</t>
  </si>
  <si>
    <t>9 &amp; 1.9 &amp; -6.3 &amp; -0.1 &amp; 10.9 &amp; 4.1 &amp; 2.4 &amp; 4.0\\</t>
  </si>
  <si>
    <t>10H &amp; 0.0 &amp; -0.1 &amp; -0.9 &amp; 4.6 &amp; 10.3 &amp; 9.2 &amp; 19.0\\</t>
  </si>
  <si>
    <t>11 &amp; 0.4 &amp; -1.3 &amp; 0.0 &amp; 3.6 &amp; 5.9 &amp; 5.2 &amp; 3.0\\</t>
  </si>
  <si>
    <t>13M &amp; 0.2 &amp; 0.0 &amp; -0.3 &amp; 0.5 &amp; 3.9 &amp; 14.9 &amp; 24.4\\</t>
  </si>
  <si>
    <t>14M &amp; 0.0 &amp; 0.5 &amp; -0.4 &amp; -1.3 &amp; 5.2 &amp; 14.6 &amp; 14.8\\</t>
  </si>
  <si>
    <t>7M &amp; 0.4 &amp; -0.2 &amp; -3.6 &amp; 0.0 &amp; 13.3 &amp; 19.1 &amp; 9.0\\</t>
  </si>
  <si>
    <t>Temp TDV</t>
  </si>
  <si>
    <t>q value</t>
  </si>
  <si>
    <t>TXY:</t>
  </si>
  <si>
    <t>APR:</t>
  </si>
  <si>
    <t>m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</si>
</sst>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0"/>
    <numFmt numFmtId="165" formatCode="0.0"/>
  </numFmts>
  <fonts count="15" x14ac:knownFonts="1">
    <font>
      <sz val="12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6"/>
      <color theme="1"/>
      <name val="Arial Narrow"/>
      <family val="2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sz val="14"/>
      <color theme="1"/>
      <name val="Arial Narrow"/>
      <family val="2"/>
    </font>
    <font>
      <sz val="8"/>
      <color theme="1"/>
      <name val="Arial Narrow"/>
      <family val="2"/>
    </font>
    <font>
      <sz val="8"/>
      <name val="Arial Narrow"/>
      <family val="2"/>
    </font>
    <font>
      <b/>
      <sz val="14"/>
      <color theme="1"/>
      <name val="Arial Narrow"/>
      <family val="2"/>
    </font>
    <font>
      <sz val="18"/>
      <color theme="1"/>
      <name val="Arial Narrow"/>
      <family val="2"/>
    </font>
    <font>
      <b/>
      <sz val="18"/>
      <color theme="1"/>
      <name val="Arial Narrow"/>
      <family val="2"/>
    </font>
    <font>
      <b/>
      <u/>
      <sz val="18"/>
      <color theme="1"/>
      <name val="Arial Narrow"/>
      <family val="2"/>
    </font>
    <font>
      <i/>
      <sz val="12"/>
      <color theme="1"/>
      <name val="Arial Narrow"/>
      <family val="2"/>
    </font>
    <font>
      <sz val="10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4" fillId="0" borderId="1" xfId="0" applyFont="1" applyBorder="1"/>
    <xf numFmtId="0" fontId="0" fillId="0" borderId="7" xfId="0" applyBorder="1"/>
    <xf numFmtId="0" fontId="5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0" xfId="0" applyFont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6" fillId="0" borderId="5" xfId="0" applyFont="1" applyBorder="1"/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vertical="top"/>
    </xf>
    <xf numFmtId="0" fontId="5" fillId="0" borderId="0" xfId="0" applyFont="1" applyBorder="1"/>
    <xf numFmtId="0" fontId="6" fillId="0" borderId="13" xfId="0" quotePrefix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2" fontId="0" fillId="0" borderId="0" xfId="0" applyNumberFormat="1"/>
    <xf numFmtId="2" fontId="6" fillId="0" borderId="14" xfId="0" applyNumberFormat="1" applyFont="1" applyBorder="1"/>
    <xf numFmtId="2" fontId="6" fillId="0" borderId="0" xfId="0" applyNumberFormat="1" applyFont="1"/>
    <xf numFmtId="2" fontId="6" fillId="0" borderId="9" xfId="0" applyNumberFormat="1" applyFont="1" applyBorder="1"/>
    <xf numFmtId="0" fontId="0" fillId="0" borderId="0" xfId="0" applyFont="1" applyBorder="1"/>
    <xf numFmtId="164" fontId="6" fillId="0" borderId="9" xfId="0" applyNumberFormat="1" applyFont="1" applyBorder="1"/>
    <xf numFmtId="0" fontId="6" fillId="0" borderId="17" xfId="0" applyFont="1" applyBorder="1" applyAlignment="1">
      <alignment horizontal="center"/>
    </xf>
    <xf numFmtId="2" fontId="6" fillId="0" borderId="9" xfId="2" applyNumberFormat="1" applyFont="1" applyBorder="1"/>
    <xf numFmtId="2" fontId="6" fillId="0" borderId="9" xfId="0" applyNumberFormat="1" applyFont="1" applyBorder="1" applyAlignment="1">
      <alignment wrapText="1"/>
    </xf>
    <xf numFmtId="43" fontId="0" fillId="0" borderId="9" xfId="1" applyFont="1" applyBorder="1" applyAlignment="1">
      <alignment horizontal="right"/>
    </xf>
    <xf numFmtId="43" fontId="0" fillId="0" borderId="15" xfId="1" applyFont="1" applyBorder="1" applyAlignment="1">
      <alignment horizontal="right"/>
    </xf>
    <xf numFmtId="43" fontId="0" fillId="0" borderId="21" xfId="1" applyFont="1" applyBorder="1" applyAlignment="1">
      <alignment horizontal="right"/>
    </xf>
    <xf numFmtId="43" fontId="0" fillId="0" borderId="22" xfId="1" applyFont="1" applyBorder="1" applyAlignment="1">
      <alignment horizontal="right"/>
    </xf>
    <xf numFmtId="43" fontId="0" fillId="0" borderId="24" xfId="1" applyFont="1" applyBorder="1" applyAlignment="1">
      <alignment horizontal="right"/>
    </xf>
    <xf numFmtId="43" fontId="0" fillId="0" borderId="26" xfId="1" applyFont="1" applyBorder="1" applyAlignment="1">
      <alignment horizontal="right"/>
    </xf>
    <xf numFmtId="43" fontId="0" fillId="0" borderId="28" xfId="1" applyFont="1" applyBorder="1" applyAlignment="1">
      <alignment horizontal="right"/>
    </xf>
    <xf numFmtId="43" fontId="0" fillId="0" borderId="29" xfId="1" applyFont="1" applyBorder="1" applyAlignment="1">
      <alignment horizontal="right"/>
    </xf>
    <xf numFmtId="0" fontId="11" fillId="2" borderId="12" xfId="0" applyFont="1" applyFill="1" applyBorder="1" applyAlignment="1" applyProtection="1">
      <alignment horizontal="center"/>
      <protection hidden="1"/>
    </xf>
    <xf numFmtId="0" fontId="11" fillId="2" borderId="19" xfId="0" applyFont="1" applyFill="1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10" fillId="0" borderId="11" xfId="0" applyFont="1" applyBorder="1" applyAlignment="1" applyProtection="1">
      <alignment horizontal="right"/>
      <protection locked="0"/>
    </xf>
    <xf numFmtId="0" fontId="9" fillId="2" borderId="15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Protection="1">
      <protection locked="0"/>
    </xf>
    <xf numFmtId="0" fontId="10" fillId="0" borderId="17" xfId="0" applyFont="1" applyBorder="1" applyAlignment="1" applyProtection="1">
      <alignment horizontal="right"/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25" xfId="0" applyFont="1" applyBorder="1" applyAlignment="1" applyProtection="1">
      <alignment horizontal="center"/>
      <protection hidden="1"/>
    </xf>
    <xf numFmtId="0" fontId="0" fillId="0" borderId="27" xfId="0" applyFont="1" applyBorder="1" applyAlignment="1" applyProtection="1">
      <alignment horizontal="center"/>
      <protection hidden="1"/>
    </xf>
    <xf numFmtId="0" fontId="0" fillId="0" borderId="23" xfId="0" applyFont="1" applyBorder="1" applyAlignment="1" applyProtection="1">
      <alignment horizontal="center"/>
      <protection hidden="1"/>
    </xf>
    <xf numFmtId="0" fontId="0" fillId="0" borderId="30" xfId="0" applyFon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right"/>
      <protection locked="0"/>
    </xf>
    <xf numFmtId="43" fontId="11" fillId="2" borderId="12" xfId="0" applyNumberFormat="1" applyFont="1" applyFill="1" applyBorder="1" applyAlignment="1" applyProtection="1">
      <alignment horizontal="center"/>
      <protection hidden="1"/>
    </xf>
    <xf numFmtId="0" fontId="0" fillId="0" borderId="0" xfId="0" applyFont="1" applyBorder="1" applyProtection="1">
      <protection locked="0"/>
    </xf>
    <xf numFmtId="0" fontId="0" fillId="0" borderId="31" xfId="0" applyBorder="1" applyAlignment="1" applyProtection="1">
      <alignment horizontal="right"/>
      <protection locked="0"/>
    </xf>
    <xf numFmtId="0" fontId="2" fillId="0" borderId="31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43" fontId="0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3" fontId="0" fillId="0" borderId="33" xfId="1" applyFont="1" applyBorder="1" applyAlignment="1">
      <alignment horizontal="right"/>
    </xf>
    <xf numFmtId="43" fontId="0" fillId="0" borderId="34" xfId="1" applyFont="1" applyBorder="1" applyAlignment="1">
      <alignment horizontal="right"/>
    </xf>
    <xf numFmtId="0" fontId="0" fillId="0" borderId="35" xfId="0" applyFont="1" applyBorder="1" applyAlignment="1" applyProtection="1">
      <alignment horizontal="center"/>
      <protection hidden="1"/>
    </xf>
    <xf numFmtId="43" fontId="0" fillId="0" borderId="0" xfId="1" applyFont="1" applyProtection="1">
      <protection locked="0"/>
    </xf>
    <xf numFmtId="0" fontId="0" fillId="0" borderId="0" xfId="0" applyBorder="1" applyAlignment="1"/>
    <xf numFmtId="2" fontId="6" fillId="0" borderId="19" xfId="0" applyNumberFormat="1" applyFont="1" applyBorder="1"/>
    <xf numFmtId="0" fontId="1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right" vertical="top"/>
      <protection hidden="1"/>
    </xf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2" fillId="0" borderId="0" xfId="0" applyFont="1" applyBorder="1" applyProtection="1"/>
    <xf numFmtId="0" fontId="6" fillId="0" borderId="0" xfId="0" quotePrefix="1" applyFont="1" applyBorder="1" applyAlignment="1" applyProtection="1">
      <alignment horizontal="center"/>
    </xf>
    <xf numFmtId="43" fontId="0" fillId="0" borderId="0" xfId="1" applyFont="1" applyBorder="1" applyProtection="1"/>
    <xf numFmtId="0" fontId="0" fillId="0" borderId="0" xfId="0" applyProtection="1"/>
    <xf numFmtId="0" fontId="2" fillId="0" borderId="9" xfId="0" applyFont="1" applyBorder="1" applyProtection="1"/>
    <xf numFmtId="0" fontId="2" fillId="0" borderId="9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right"/>
    </xf>
    <xf numFmtId="164" fontId="0" fillId="0" borderId="9" xfId="0" applyNumberFormat="1" applyBorder="1" applyProtection="1"/>
    <xf numFmtId="165" fontId="0" fillId="0" borderId="0" xfId="0" applyNumberFormat="1" applyProtection="1"/>
    <xf numFmtId="2" fontId="0" fillId="0" borderId="0" xfId="0" applyNumberFormat="1" applyProtection="1"/>
    <xf numFmtId="0" fontId="2" fillId="0" borderId="15" xfId="0" applyFont="1" applyBorder="1" applyAlignment="1" applyProtection="1">
      <alignment horizontal="right"/>
    </xf>
    <xf numFmtId="164" fontId="0" fillId="0" borderId="15" xfId="0" applyNumberFormat="1" applyBorder="1" applyProtection="1"/>
    <xf numFmtId="0" fontId="2" fillId="0" borderId="11" xfId="0" applyFont="1" applyBorder="1" applyAlignment="1" applyProtection="1">
      <alignment horizontal="right"/>
    </xf>
    <xf numFmtId="164" fontId="0" fillId="0" borderId="16" xfId="0" applyNumberFormat="1" applyBorder="1" applyProtection="1"/>
    <xf numFmtId="164" fontId="0" fillId="0" borderId="12" xfId="0" applyNumberFormat="1" applyBorder="1" applyProtection="1"/>
    <xf numFmtId="0" fontId="2" fillId="0" borderId="13" xfId="0" applyFont="1" applyBorder="1" applyAlignment="1" applyProtection="1">
      <alignment horizontal="right"/>
    </xf>
    <xf numFmtId="164" fontId="0" fillId="0" borderId="14" xfId="0" applyNumberFormat="1" applyBorder="1" applyProtection="1"/>
    <xf numFmtId="0" fontId="2" fillId="0" borderId="17" xfId="0" applyFont="1" applyBorder="1" applyAlignment="1" applyProtection="1">
      <alignment horizontal="right"/>
    </xf>
    <xf numFmtId="164" fontId="0" fillId="0" borderId="18" xfId="0" applyNumberFormat="1" applyBorder="1" applyProtection="1"/>
    <xf numFmtId="164" fontId="0" fillId="0" borderId="19" xfId="0" applyNumberFormat="1" applyBorder="1" applyProtection="1"/>
    <xf numFmtId="0" fontId="2" fillId="0" borderId="0" xfId="0" applyFont="1" applyProtection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2" fillId="0" borderId="4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6" fillId="0" borderId="7" xfId="0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4" fillId="0" borderId="2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2" fontId="6" fillId="0" borderId="9" xfId="0" applyNumberFormat="1" applyFont="1" applyBorder="1" applyAlignment="1">
      <alignment horizontal="right"/>
    </xf>
    <xf numFmtId="0" fontId="6" fillId="0" borderId="20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6" fillId="0" borderId="2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0" xfId="0" applyBorder="1" applyAlignment="1">
      <alignment horizontal="right"/>
    </xf>
    <xf numFmtId="0" fontId="6" fillId="0" borderId="1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9" fillId="2" borderId="2" xfId="0" applyFont="1" applyFill="1" applyBorder="1" applyAlignment="1" applyProtection="1">
      <alignment horizontal="center" vertical="center" wrapText="1"/>
      <protection locked="0"/>
    </xf>
    <xf numFmtId="0" fontId="9" fillId="2" borderId="3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Alignment="1" applyProtection="1">
      <alignment horizont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7"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0" tint="-0.49803155613879818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312420</xdr:colOff>
          <xdr:row>5</xdr:row>
          <xdr:rowOff>91440</xdr:rowOff>
        </xdr:from>
        <xdr:to>
          <xdr:col>25</xdr:col>
          <xdr:colOff>563880</xdr:colOff>
          <xdr:row>9</xdr:row>
          <xdr:rowOff>68580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563515</xdr:colOff>
      <xdr:row>5</xdr:row>
      <xdr:rowOff>70138</xdr:rowOff>
    </xdr:from>
    <xdr:to>
      <xdr:col>23</xdr:col>
      <xdr:colOff>220388</xdr:colOff>
      <xdr:row>24</xdr:row>
      <xdr:rowOff>93720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71" t="2998" r="44671" b="1095"/>
        <a:stretch/>
      </xdr:blipFill>
      <xdr:spPr>
        <a:xfrm>
          <a:off x="9304103" y="1549314"/>
          <a:ext cx="2453861" cy="38963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view="pageBreakPreview" zoomScaleNormal="100" zoomScaleSheetLayoutView="100" zoomScalePageLayoutView="70" workbookViewId="0">
      <selection activeCell="M1" sqref="M1"/>
    </sheetView>
  </sheetViews>
  <sheetFormatPr defaultRowHeight="15.6" x14ac:dyDescent="0.3"/>
  <sheetData>
    <row r="1" spans="1:12" ht="21" customHeight="1" x14ac:dyDescent="0.35">
      <c r="A1" s="93" t="s">
        <v>0</v>
      </c>
      <c r="B1" s="94"/>
      <c r="C1" s="94"/>
      <c r="D1" s="94"/>
      <c r="E1" s="94"/>
      <c r="F1" s="94"/>
      <c r="G1" s="94"/>
      <c r="H1" s="95"/>
      <c r="I1" s="1" t="s">
        <v>1</v>
      </c>
      <c r="J1" s="11"/>
      <c r="K1" s="11"/>
      <c r="L1" s="12"/>
    </row>
    <row r="2" spans="1:12" ht="21" customHeight="1" x14ac:dyDescent="0.35">
      <c r="A2" s="96" t="s">
        <v>2</v>
      </c>
      <c r="B2" s="97"/>
      <c r="C2" s="97"/>
      <c r="D2" s="97"/>
      <c r="E2" s="97"/>
      <c r="F2" s="97"/>
      <c r="G2" s="97"/>
      <c r="H2" s="98"/>
      <c r="I2" s="99"/>
      <c r="J2" s="100"/>
      <c r="K2" s="100"/>
      <c r="L2" s="101"/>
    </row>
    <row r="3" spans="1:12" ht="19.95" customHeight="1" x14ac:dyDescent="0.3">
      <c r="A3" s="105" t="s">
        <v>3</v>
      </c>
      <c r="B3" s="106"/>
      <c r="C3" s="107"/>
      <c r="D3" s="107"/>
      <c r="E3" s="107"/>
      <c r="F3" s="107"/>
      <c r="G3" s="107"/>
      <c r="H3" s="108"/>
      <c r="I3" s="99"/>
      <c r="J3" s="100"/>
      <c r="K3" s="100"/>
      <c r="L3" s="101"/>
    </row>
    <row r="4" spans="1:12" ht="19.95" customHeight="1" x14ac:dyDescent="0.3">
      <c r="A4" s="109" t="s">
        <v>4</v>
      </c>
      <c r="B4" s="110"/>
      <c r="C4" s="111"/>
      <c r="D4" s="111"/>
      <c r="E4" s="110" t="s">
        <v>5</v>
      </c>
      <c r="F4" s="110"/>
      <c r="G4" s="112"/>
      <c r="H4" s="113"/>
      <c r="I4" s="99"/>
      <c r="J4" s="100"/>
      <c r="K4" s="100"/>
      <c r="L4" s="101"/>
    </row>
    <row r="5" spans="1:12" ht="19.95" customHeight="1" x14ac:dyDescent="0.3">
      <c r="A5" s="109" t="s">
        <v>6</v>
      </c>
      <c r="B5" s="110"/>
      <c r="C5" s="112"/>
      <c r="D5" s="112"/>
      <c r="E5" s="110" t="s">
        <v>7</v>
      </c>
      <c r="F5" s="110"/>
      <c r="G5" s="112"/>
      <c r="H5" s="113"/>
      <c r="I5" s="99"/>
      <c r="J5" s="100"/>
      <c r="K5" s="100"/>
      <c r="L5" s="101"/>
    </row>
    <row r="6" spans="1:12" ht="19.95" customHeight="1" x14ac:dyDescent="0.3">
      <c r="A6" s="115" t="s">
        <v>8</v>
      </c>
      <c r="B6" s="116"/>
      <c r="C6" s="2"/>
      <c r="D6" s="2"/>
      <c r="E6" s="116" t="s">
        <v>9</v>
      </c>
      <c r="F6" s="116"/>
      <c r="G6" s="117"/>
      <c r="H6" s="118"/>
      <c r="I6" s="102"/>
      <c r="J6" s="103"/>
      <c r="K6" s="103"/>
      <c r="L6" s="104"/>
    </row>
    <row r="7" spans="1:12" ht="6" customHeight="1" x14ac:dyDescent="0.35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5"/>
    </row>
    <row r="8" spans="1:12" ht="18" customHeight="1" x14ac:dyDescent="0.35">
      <c r="A8" s="6"/>
      <c r="B8" s="7" t="s">
        <v>25</v>
      </c>
      <c r="C8" s="7"/>
      <c r="D8" s="7" t="s">
        <v>10</v>
      </c>
      <c r="G8" s="7" t="s">
        <v>11</v>
      </c>
      <c r="H8" s="7"/>
      <c r="J8" s="7" t="s">
        <v>12</v>
      </c>
      <c r="L8" s="13"/>
    </row>
    <row r="9" spans="1:12" ht="18" customHeight="1" x14ac:dyDescent="0.35">
      <c r="A9" s="6"/>
      <c r="B9" s="7" t="s">
        <v>13</v>
      </c>
      <c r="C9" s="7"/>
      <c r="D9" s="7" t="s">
        <v>14</v>
      </c>
      <c r="G9" s="7" t="s">
        <v>15</v>
      </c>
      <c r="H9" s="7"/>
      <c r="J9" s="7" t="s">
        <v>16</v>
      </c>
      <c r="L9" s="13"/>
    </row>
    <row r="10" spans="1:12" ht="18" customHeight="1" x14ac:dyDescent="0.35">
      <c r="A10" s="6"/>
      <c r="B10" s="7" t="s">
        <v>26</v>
      </c>
      <c r="C10" s="7"/>
      <c r="D10" s="7" t="s">
        <v>17</v>
      </c>
      <c r="G10" s="7" t="s">
        <v>18</v>
      </c>
      <c r="H10" s="7"/>
      <c r="J10" s="7" t="s">
        <v>27</v>
      </c>
      <c r="L10" s="13"/>
    </row>
    <row r="11" spans="1:12" ht="18" customHeight="1" x14ac:dyDescent="0.35">
      <c r="A11" s="6"/>
      <c r="B11" s="7" t="s">
        <v>19</v>
      </c>
      <c r="C11" s="7"/>
      <c r="D11" s="7" t="s">
        <v>28</v>
      </c>
      <c r="G11" s="7" t="s">
        <v>20</v>
      </c>
      <c r="H11" s="7"/>
      <c r="J11" s="7" t="s">
        <v>21</v>
      </c>
      <c r="L11" s="13"/>
    </row>
    <row r="12" spans="1:12" ht="6" customHeight="1" x14ac:dyDescent="0.3">
      <c r="A12" s="8"/>
      <c r="B12" s="2"/>
      <c r="C12" s="2"/>
      <c r="D12" s="2"/>
      <c r="E12" s="2"/>
      <c r="F12" s="2"/>
      <c r="G12" s="2"/>
      <c r="H12" s="2"/>
      <c r="I12" s="2"/>
      <c r="J12" s="2"/>
      <c r="K12" s="2"/>
      <c r="L12" s="9"/>
    </row>
    <row r="13" spans="1:12" ht="18" customHeight="1" x14ac:dyDescent="0.3">
      <c r="A13" s="119" t="s">
        <v>22</v>
      </c>
      <c r="B13" s="119"/>
      <c r="C13" s="119" t="s">
        <v>23</v>
      </c>
      <c r="D13" s="119"/>
      <c r="E13" s="119"/>
      <c r="F13" s="119"/>
      <c r="G13" s="119"/>
      <c r="H13" s="119"/>
      <c r="I13" s="119"/>
      <c r="J13" s="119"/>
      <c r="K13" s="120" t="s">
        <v>24</v>
      </c>
      <c r="L13" s="121"/>
    </row>
    <row r="14" spans="1:12" ht="18" customHeight="1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22"/>
      <c r="L14" s="123"/>
    </row>
    <row r="15" spans="1:12" ht="19.2" customHeight="1" x14ac:dyDescent="0.3">
      <c r="A15" s="114"/>
      <c r="B15" s="114"/>
      <c r="C15" s="10"/>
      <c r="D15" s="10"/>
      <c r="E15" s="10"/>
      <c r="F15" s="10"/>
      <c r="G15" s="10"/>
      <c r="H15" s="10"/>
      <c r="I15" s="10"/>
      <c r="J15" s="10"/>
      <c r="K15" s="114"/>
      <c r="L15" s="114"/>
    </row>
    <row r="16" spans="1:12" ht="19.2" customHeight="1" x14ac:dyDescent="0.3">
      <c r="A16" s="114"/>
      <c r="B16" s="114"/>
      <c r="C16" s="10"/>
      <c r="D16" s="10"/>
      <c r="E16" s="10"/>
      <c r="F16" s="10"/>
      <c r="G16" s="10"/>
      <c r="H16" s="10"/>
      <c r="I16" s="10"/>
      <c r="J16" s="10"/>
      <c r="K16" s="114"/>
      <c r="L16" s="114"/>
    </row>
    <row r="17" spans="1:12" ht="19.2" customHeight="1" x14ac:dyDescent="0.3">
      <c r="A17" s="114"/>
      <c r="B17" s="114"/>
      <c r="C17" s="10"/>
      <c r="D17" s="10"/>
      <c r="E17" s="10"/>
      <c r="F17" s="10"/>
      <c r="G17" s="10"/>
      <c r="H17" s="10"/>
      <c r="I17" s="10"/>
      <c r="J17" s="10"/>
      <c r="K17" s="114"/>
      <c r="L17" s="114"/>
    </row>
    <row r="18" spans="1:12" ht="19.2" customHeight="1" x14ac:dyDescent="0.3">
      <c r="A18" s="114"/>
      <c r="B18" s="114"/>
      <c r="C18" s="10"/>
      <c r="D18" s="10"/>
      <c r="E18" s="10"/>
      <c r="F18" s="10"/>
      <c r="G18" s="10"/>
      <c r="H18" s="10"/>
      <c r="I18" s="10"/>
      <c r="J18" s="10"/>
      <c r="K18" s="114"/>
      <c r="L18" s="114"/>
    </row>
    <row r="19" spans="1:12" ht="19.2" customHeight="1" x14ac:dyDescent="0.3">
      <c r="A19" s="114"/>
      <c r="B19" s="114"/>
      <c r="C19" s="10"/>
      <c r="D19" s="10"/>
      <c r="E19" s="10"/>
      <c r="F19" s="10"/>
      <c r="G19" s="10"/>
      <c r="H19" s="10"/>
      <c r="I19" s="10"/>
      <c r="J19" s="10"/>
      <c r="K19" s="114"/>
      <c r="L19" s="114"/>
    </row>
    <row r="20" spans="1:12" ht="19.2" customHeight="1" x14ac:dyDescent="0.3">
      <c r="A20" s="114"/>
      <c r="B20" s="114"/>
      <c r="C20" s="10"/>
      <c r="D20" s="10"/>
      <c r="E20" s="10"/>
      <c r="F20" s="10"/>
      <c r="G20" s="10"/>
      <c r="H20" s="10"/>
      <c r="I20" s="10"/>
      <c r="J20" s="10"/>
      <c r="K20" s="114"/>
      <c r="L20" s="114"/>
    </row>
    <row r="21" spans="1:12" ht="19.2" customHeight="1" x14ac:dyDescent="0.3">
      <c r="A21" s="114"/>
      <c r="B21" s="114"/>
      <c r="C21" s="10"/>
      <c r="D21" s="10"/>
      <c r="E21" s="10"/>
      <c r="F21" s="10"/>
      <c r="G21" s="10"/>
      <c r="H21" s="10"/>
      <c r="I21" s="10"/>
      <c r="J21" s="10"/>
      <c r="K21" s="114"/>
      <c r="L21" s="114"/>
    </row>
    <row r="22" spans="1:12" ht="19.2" customHeight="1" x14ac:dyDescent="0.3">
      <c r="A22" s="114"/>
      <c r="B22" s="114"/>
      <c r="C22" s="10"/>
      <c r="D22" s="10"/>
      <c r="E22" s="10"/>
      <c r="F22" s="10"/>
      <c r="G22" s="10"/>
      <c r="H22" s="10"/>
      <c r="I22" s="10"/>
      <c r="J22" s="10"/>
      <c r="K22" s="114"/>
      <c r="L22" s="114"/>
    </row>
    <row r="23" spans="1:12" ht="19.2" customHeight="1" x14ac:dyDescent="0.3">
      <c r="A23" s="114"/>
      <c r="B23" s="114"/>
      <c r="C23" s="10"/>
      <c r="D23" s="10"/>
      <c r="E23" s="10"/>
      <c r="F23" s="10"/>
      <c r="G23" s="10"/>
      <c r="H23" s="10"/>
      <c r="I23" s="10"/>
      <c r="J23" s="10"/>
      <c r="K23" s="114"/>
      <c r="L23" s="114"/>
    </row>
    <row r="24" spans="1:12" ht="19.2" customHeight="1" x14ac:dyDescent="0.3">
      <c r="A24" s="114"/>
      <c r="B24" s="114"/>
      <c r="C24" s="10"/>
      <c r="D24" s="10"/>
      <c r="E24" s="10"/>
      <c r="F24" s="10"/>
      <c r="G24" s="10"/>
      <c r="H24" s="10"/>
      <c r="I24" s="10"/>
      <c r="J24" s="10"/>
      <c r="K24" s="114"/>
      <c r="L24" s="114"/>
    </row>
    <row r="25" spans="1:12" ht="19.2" customHeight="1" x14ac:dyDescent="0.3">
      <c r="A25" s="114"/>
      <c r="B25" s="114"/>
      <c r="C25" s="10"/>
      <c r="D25" s="10"/>
      <c r="E25" s="10"/>
      <c r="F25" s="10"/>
      <c r="G25" s="10"/>
      <c r="H25" s="10"/>
      <c r="I25" s="10"/>
      <c r="J25" s="10"/>
      <c r="K25" s="114"/>
      <c r="L25" s="114"/>
    </row>
    <row r="26" spans="1:12" ht="19.2" customHeight="1" x14ac:dyDescent="0.3">
      <c r="A26" s="114"/>
      <c r="B26" s="114"/>
      <c r="C26" s="10"/>
      <c r="D26" s="10"/>
      <c r="E26" s="10"/>
      <c r="F26" s="10"/>
      <c r="G26" s="10"/>
      <c r="H26" s="10"/>
      <c r="I26" s="10"/>
      <c r="J26" s="10"/>
      <c r="K26" s="114"/>
      <c r="L26" s="114"/>
    </row>
    <row r="27" spans="1:12" ht="6" customHeight="1" x14ac:dyDescent="0.3"/>
    <row r="28" spans="1:12" ht="19.95" customHeight="1" x14ac:dyDescent="0.3">
      <c r="A28" s="131" t="s">
        <v>4</v>
      </c>
      <c r="B28" s="132"/>
      <c r="C28" s="133"/>
      <c r="D28" s="133"/>
      <c r="E28" s="132" t="s">
        <v>5</v>
      </c>
      <c r="F28" s="132"/>
      <c r="G28" s="129"/>
      <c r="H28" s="129"/>
      <c r="I28" s="1" t="s">
        <v>1</v>
      </c>
      <c r="J28" s="11"/>
      <c r="K28" s="11"/>
      <c r="L28" s="12"/>
    </row>
    <row r="29" spans="1:12" ht="19.95" customHeight="1" x14ac:dyDescent="0.3">
      <c r="A29" s="109" t="s">
        <v>6</v>
      </c>
      <c r="B29" s="110"/>
      <c r="C29" s="112"/>
      <c r="D29" s="112"/>
      <c r="E29" s="110" t="s">
        <v>7</v>
      </c>
      <c r="F29" s="110"/>
      <c r="G29" s="112"/>
      <c r="H29" s="112"/>
      <c r="I29" s="99"/>
      <c r="J29" s="100"/>
      <c r="K29" s="100"/>
      <c r="L29" s="101"/>
    </row>
    <row r="30" spans="1:12" ht="19.95" customHeight="1" x14ac:dyDescent="0.3">
      <c r="A30" s="115" t="s">
        <v>8</v>
      </c>
      <c r="B30" s="116"/>
      <c r="C30" s="2"/>
      <c r="D30" s="2"/>
      <c r="E30" s="116" t="s">
        <v>9</v>
      </c>
      <c r="F30" s="116"/>
      <c r="G30" s="117"/>
      <c r="H30" s="117"/>
      <c r="I30" s="99"/>
      <c r="J30" s="100"/>
      <c r="K30" s="100"/>
      <c r="L30" s="101"/>
    </row>
    <row r="31" spans="1:12" ht="19.95" customHeight="1" x14ac:dyDescent="0.3">
      <c r="A31" s="124" t="s">
        <v>29</v>
      </c>
      <c r="B31" s="125"/>
      <c r="C31" s="125"/>
      <c r="D31" s="125"/>
      <c r="E31" s="125"/>
      <c r="F31" s="125"/>
      <c r="G31" s="128"/>
      <c r="H31" s="129"/>
      <c r="I31" s="99"/>
      <c r="J31" s="100"/>
      <c r="K31" s="100"/>
      <c r="L31" s="101"/>
    </row>
    <row r="32" spans="1:12" ht="19.95" customHeight="1" x14ac:dyDescent="0.3">
      <c r="A32" s="126"/>
      <c r="B32" s="127"/>
      <c r="C32" s="127"/>
      <c r="D32" s="127"/>
      <c r="E32" s="127"/>
      <c r="F32" s="127"/>
      <c r="G32" s="130"/>
      <c r="H32" s="117"/>
      <c r="I32" s="99"/>
      <c r="J32" s="100"/>
      <c r="K32" s="100"/>
      <c r="L32" s="101"/>
    </row>
    <row r="33" spans="1:12" ht="19.95" customHeight="1" x14ac:dyDescent="0.3">
      <c r="A33" s="14"/>
      <c r="B33" s="15"/>
      <c r="E33" s="15"/>
      <c r="F33" s="15"/>
      <c r="G33" s="16"/>
      <c r="H33" s="16"/>
      <c r="I33" s="99"/>
      <c r="J33" s="100"/>
      <c r="K33" s="100"/>
      <c r="L33" s="101"/>
    </row>
    <row r="34" spans="1:12" ht="19.95" customHeight="1" x14ac:dyDescent="0.3">
      <c r="A34" s="14"/>
      <c r="B34" s="15"/>
      <c r="E34" s="15"/>
      <c r="F34" s="15"/>
      <c r="G34" s="16"/>
      <c r="H34" s="16"/>
      <c r="I34" s="99"/>
      <c r="J34" s="100"/>
      <c r="K34" s="100"/>
      <c r="L34" s="101"/>
    </row>
    <row r="35" spans="1:12" ht="6" customHeight="1" x14ac:dyDescent="0.3">
      <c r="A35" s="8"/>
      <c r="B35" s="2"/>
      <c r="C35" s="2"/>
      <c r="D35" s="2"/>
      <c r="E35" s="2"/>
      <c r="F35" s="2"/>
      <c r="G35" s="2"/>
      <c r="H35" s="2"/>
      <c r="I35" s="8"/>
      <c r="J35" s="2"/>
      <c r="K35" s="2"/>
      <c r="L35" s="9"/>
    </row>
    <row r="36" spans="1:12" ht="19.95" customHeight="1" x14ac:dyDescent="0.3">
      <c r="A36" s="119" t="s">
        <v>22</v>
      </c>
      <c r="B36" s="119"/>
      <c r="C36" s="119" t="s">
        <v>23</v>
      </c>
      <c r="D36" s="119"/>
      <c r="E36" s="119"/>
      <c r="F36" s="119"/>
      <c r="G36" s="119"/>
      <c r="H36" s="119"/>
      <c r="I36" s="134"/>
      <c r="J36" s="134"/>
      <c r="K36" s="135" t="s">
        <v>24</v>
      </c>
      <c r="L36" s="136"/>
    </row>
    <row r="37" spans="1:12" ht="19.95" customHeight="1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22"/>
      <c r="L37" s="123"/>
    </row>
    <row r="38" spans="1:12" ht="19.95" customHeight="1" x14ac:dyDescent="0.3">
      <c r="A38" s="114"/>
      <c r="B38" s="114"/>
      <c r="C38" s="10"/>
      <c r="D38" s="10"/>
      <c r="E38" s="10"/>
      <c r="F38" s="10"/>
      <c r="G38" s="10"/>
      <c r="H38" s="10"/>
      <c r="I38" s="10"/>
      <c r="J38" s="10"/>
      <c r="K38" s="114"/>
      <c r="L38" s="114"/>
    </row>
    <row r="39" spans="1:12" ht="19.95" customHeight="1" x14ac:dyDescent="0.3">
      <c r="A39" s="114"/>
      <c r="B39" s="114"/>
      <c r="C39" s="10"/>
      <c r="D39" s="10"/>
      <c r="E39" s="10"/>
      <c r="F39" s="10"/>
      <c r="G39" s="10"/>
      <c r="H39" s="10"/>
      <c r="I39" s="10"/>
      <c r="J39" s="10"/>
      <c r="K39" s="114"/>
      <c r="L39" s="114"/>
    </row>
    <row r="40" spans="1:12" ht="19.95" customHeight="1" x14ac:dyDescent="0.3">
      <c r="A40" s="114"/>
      <c r="B40" s="114"/>
      <c r="C40" s="10"/>
      <c r="D40" s="10"/>
      <c r="E40" s="10"/>
      <c r="F40" s="10"/>
      <c r="G40" s="10"/>
      <c r="H40" s="10"/>
      <c r="I40" s="10"/>
      <c r="J40" s="10"/>
      <c r="K40" s="114"/>
      <c r="L40" s="114"/>
    </row>
    <row r="41" spans="1:12" ht="19.95" customHeight="1" x14ac:dyDescent="0.3">
      <c r="A41" s="114"/>
      <c r="B41" s="114"/>
      <c r="C41" s="10"/>
      <c r="D41" s="10"/>
      <c r="E41" s="10"/>
      <c r="F41" s="10"/>
      <c r="G41" s="10"/>
      <c r="H41" s="10"/>
      <c r="I41" s="10"/>
      <c r="J41" s="10"/>
      <c r="K41" s="114"/>
      <c r="L41" s="114"/>
    </row>
    <row r="42" spans="1:12" ht="19.95" customHeight="1" x14ac:dyDescent="0.3">
      <c r="A42" s="114"/>
      <c r="B42" s="114"/>
      <c r="C42" s="10"/>
      <c r="D42" s="10"/>
      <c r="E42" s="10"/>
      <c r="F42" s="10"/>
      <c r="G42" s="10"/>
      <c r="H42" s="10"/>
      <c r="I42" s="10"/>
      <c r="J42" s="10"/>
      <c r="K42" s="114"/>
      <c r="L42" s="114"/>
    </row>
    <row r="43" spans="1:12" ht="19.95" customHeight="1" x14ac:dyDescent="0.3">
      <c r="A43" s="114"/>
      <c r="B43" s="114"/>
      <c r="C43" s="10"/>
      <c r="D43" s="10"/>
      <c r="E43" s="10"/>
      <c r="F43" s="10"/>
      <c r="G43" s="10"/>
      <c r="H43" s="10"/>
      <c r="I43" s="10"/>
      <c r="J43" s="10"/>
      <c r="K43" s="114"/>
      <c r="L43" s="114"/>
    </row>
    <row r="44" spans="1:12" ht="19.95" customHeight="1" x14ac:dyDescent="0.3">
      <c r="A44" s="114"/>
      <c r="B44" s="114"/>
      <c r="C44" s="10"/>
      <c r="D44" s="10"/>
      <c r="E44" s="10"/>
      <c r="F44" s="10"/>
      <c r="G44" s="10"/>
      <c r="H44" s="10"/>
      <c r="I44" s="10"/>
      <c r="J44" s="10"/>
      <c r="K44" s="114"/>
      <c r="L44" s="114"/>
    </row>
    <row r="45" spans="1:12" ht="19.95" customHeight="1" x14ac:dyDescent="0.3">
      <c r="A45" s="114"/>
      <c r="B45" s="114"/>
      <c r="C45" s="10"/>
      <c r="D45" s="10"/>
      <c r="E45" s="10"/>
      <c r="F45" s="10"/>
      <c r="G45" s="10"/>
      <c r="H45" s="10"/>
      <c r="I45" s="10"/>
      <c r="J45" s="10"/>
      <c r="K45" s="114"/>
      <c r="L45" s="114"/>
    </row>
    <row r="46" spans="1:12" ht="19.95" customHeight="1" x14ac:dyDescent="0.3">
      <c r="A46" s="114"/>
      <c r="B46" s="114"/>
      <c r="C46" s="10"/>
      <c r="D46" s="10"/>
      <c r="E46" s="10"/>
      <c r="F46" s="10"/>
      <c r="G46" s="10"/>
      <c r="H46" s="10"/>
      <c r="I46" s="10"/>
      <c r="J46" s="10"/>
      <c r="K46" s="114"/>
      <c r="L46" s="114"/>
    </row>
    <row r="47" spans="1:12" ht="19.95" customHeight="1" x14ac:dyDescent="0.3">
      <c r="A47" s="114"/>
      <c r="B47" s="114"/>
      <c r="C47" s="10"/>
      <c r="D47" s="10"/>
      <c r="E47" s="10"/>
      <c r="F47" s="10"/>
      <c r="G47" s="10"/>
      <c r="H47" s="10"/>
      <c r="I47" s="10"/>
      <c r="J47" s="10"/>
      <c r="K47" s="114"/>
      <c r="L47" s="114"/>
    </row>
    <row r="48" spans="1:12" ht="19.95" customHeight="1" x14ac:dyDescent="0.3">
      <c r="A48" s="114"/>
      <c r="B48" s="114"/>
      <c r="C48" s="10"/>
      <c r="D48" s="10"/>
      <c r="E48" s="10"/>
      <c r="F48" s="10"/>
      <c r="G48" s="10"/>
      <c r="H48" s="10"/>
      <c r="I48" s="10"/>
      <c r="J48" s="10"/>
      <c r="K48" s="114"/>
      <c r="L48" s="114"/>
    </row>
    <row r="49" spans="1:12" ht="19.95" customHeight="1" x14ac:dyDescent="0.3">
      <c r="A49" s="114"/>
      <c r="B49" s="114"/>
      <c r="C49" s="10"/>
      <c r="D49" s="10"/>
      <c r="E49" s="10"/>
      <c r="F49" s="10"/>
      <c r="G49" s="10"/>
      <c r="H49" s="10"/>
      <c r="I49" s="10"/>
      <c r="J49" s="10"/>
      <c r="K49" s="114"/>
      <c r="L49" s="114"/>
    </row>
    <row r="50" spans="1:12" ht="19.95" customHeight="1" x14ac:dyDescent="0.3"/>
    <row r="51" spans="1:12" ht="19.95" customHeight="1" x14ac:dyDescent="0.3"/>
    <row r="52" spans="1:12" ht="19.95" customHeight="1" x14ac:dyDescent="0.3"/>
    <row r="53" spans="1:12" ht="19.95" customHeight="1" x14ac:dyDescent="0.3"/>
    <row r="54" spans="1:12" ht="19.95" customHeight="1" x14ac:dyDescent="0.3"/>
    <row r="55" spans="1:12" ht="19.95" customHeight="1" x14ac:dyDescent="0.3"/>
    <row r="56" spans="1:12" ht="19.95" customHeight="1" x14ac:dyDescent="0.3"/>
    <row r="57" spans="1:12" ht="19.95" customHeight="1" x14ac:dyDescent="0.3"/>
    <row r="58" spans="1:12" ht="19.95" customHeight="1" x14ac:dyDescent="0.3"/>
    <row r="59" spans="1:12" ht="19.95" customHeight="1" x14ac:dyDescent="0.3"/>
    <row r="60" spans="1:12" ht="19.95" customHeight="1" x14ac:dyDescent="0.3"/>
    <row r="61" spans="1:12" ht="19.95" customHeight="1" x14ac:dyDescent="0.3"/>
  </sheetData>
  <mergeCells count="84">
    <mergeCell ref="A45:B45"/>
    <mergeCell ref="K45:L45"/>
    <mergeCell ref="A49:B49"/>
    <mergeCell ref="K49:L49"/>
    <mergeCell ref="A46:B46"/>
    <mergeCell ref="K46:L46"/>
    <mergeCell ref="A47:B47"/>
    <mergeCell ref="K47:L47"/>
    <mergeCell ref="A48:B48"/>
    <mergeCell ref="K48:L48"/>
    <mergeCell ref="A42:B42"/>
    <mergeCell ref="K42:L42"/>
    <mergeCell ref="A43:B43"/>
    <mergeCell ref="K43:L43"/>
    <mergeCell ref="A44:B44"/>
    <mergeCell ref="K44:L44"/>
    <mergeCell ref="A40:B40"/>
    <mergeCell ref="K40:L40"/>
    <mergeCell ref="A41:B41"/>
    <mergeCell ref="K41:L41"/>
    <mergeCell ref="A39:B39"/>
    <mergeCell ref="K39:L39"/>
    <mergeCell ref="K38:L38"/>
    <mergeCell ref="A36:B37"/>
    <mergeCell ref="C36:J37"/>
    <mergeCell ref="K36:L37"/>
    <mergeCell ref="A38:B38"/>
    <mergeCell ref="A26:B26"/>
    <mergeCell ref="K26:L26"/>
    <mergeCell ref="A28:B28"/>
    <mergeCell ref="C28:D28"/>
    <mergeCell ref="E28:F28"/>
    <mergeCell ref="G28:H28"/>
    <mergeCell ref="A29:B29"/>
    <mergeCell ref="C29:D29"/>
    <mergeCell ref="E29:F29"/>
    <mergeCell ref="G29:H29"/>
    <mergeCell ref="I29:L34"/>
    <mergeCell ref="A30:B30"/>
    <mergeCell ref="E30:F30"/>
    <mergeCell ref="G30:H30"/>
    <mergeCell ref="A31:F32"/>
    <mergeCell ref="G31:H32"/>
    <mergeCell ref="A23:B23"/>
    <mergeCell ref="K23:L23"/>
    <mergeCell ref="A24:B24"/>
    <mergeCell ref="K24:L24"/>
    <mergeCell ref="A25:B25"/>
    <mergeCell ref="K25:L25"/>
    <mergeCell ref="A20:B20"/>
    <mergeCell ref="K20:L20"/>
    <mergeCell ref="A21:B21"/>
    <mergeCell ref="K21:L21"/>
    <mergeCell ref="A22:B22"/>
    <mergeCell ref="K22:L22"/>
    <mergeCell ref="A17:B17"/>
    <mergeCell ref="K17:L17"/>
    <mergeCell ref="A18:B18"/>
    <mergeCell ref="K18:L18"/>
    <mergeCell ref="A19:B19"/>
    <mergeCell ref="K19:L19"/>
    <mergeCell ref="A16:B16"/>
    <mergeCell ref="K16:L16"/>
    <mergeCell ref="C5:D5"/>
    <mergeCell ref="E5:F5"/>
    <mergeCell ref="G5:H5"/>
    <mergeCell ref="A6:B6"/>
    <mergeCell ref="E6:F6"/>
    <mergeCell ref="G6:H6"/>
    <mergeCell ref="A13:B14"/>
    <mergeCell ref="C13:J14"/>
    <mergeCell ref="K13:L14"/>
    <mergeCell ref="A15:B15"/>
    <mergeCell ref="K15:L15"/>
    <mergeCell ref="A1:H1"/>
    <mergeCell ref="A2:H2"/>
    <mergeCell ref="I2:L6"/>
    <mergeCell ref="A3:B3"/>
    <mergeCell ref="C3:H3"/>
    <mergeCell ref="A4:B4"/>
    <mergeCell ref="C4:D4"/>
    <mergeCell ref="E4:F4"/>
    <mergeCell ref="G4:H4"/>
    <mergeCell ref="A5:B5"/>
  </mergeCells>
  <printOptions horizontalCentered="1"/>
  <pageMargins left="0.6" right="0.4" top="0.5" bottom="0.45" header="0.3" footer="0.35"/>
  <pageSetup paperSize="9" scale="88" orientation="portrait" r:id="rId1"/>
  <headerFooter>
    <oddFooter xml:space="preserve">&amp;L    &amp;RSheet No. &amp;K00+000 -------------------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2"/>
  <sheetViews>
    <sheetView view="pageBreakPreview" zoomScale="70" zoomScaleNormal="100" zoomScaleSheetLayoutView="70" zoomScalePageLayoutView="70" workbookViewId="0">
      <selection activeCell="E11" sqref="E11:J12"/>
    </sheetView>
  </sheetViews>
  <sheetFormatPr defaultRowHeight="18" x14ac:dyDescent="0.35"/>
  <cols>
    <col min="1" max="1" width="12.109375" customWidth="1"/>
    <col min="3" max="3" width="6.88671875" customWidth="1"/>
    <col min="4" max="4" width="6.77734375" customWidth="1"/>
    <col min="5" max="5" width="9.109375" style="22" customWidth="1"/>
    <col min="6" max="7" width="8.88671875" style="22"/>
    <col min="8" max="8" width="9.33203125" style="22" customWidth="1"/>
    <col min="9" max="10" width="8.88671875" style="22"/>
    <col min="11" max="11" width="7" style="22" customWidth="1"/>
    <col min="12" max="12" width="5.5546875" style="22" customWidth="1"/>
    <col min="13" max="13" width="12.109375" customWidth="1"/>
    <col min="14" max="14" width="11.21875" style="24" customWidth="1"/>
  </cols>
  <sheetData>
    <row r="1" spans="1:15" ht="21" customHeight="1" x14ac:dyDescent="0.35">
      <c r="C1" s="152" t="s">
        <v>168</v>
      </c>
      <c r="D1" s="152"/>
      <c r="E1" s="152"/>
      <c r="F1" s="152"/>
      <c r="G1" s="152"/>
      <c r="H1" s="152"/>
      <c r="I1" s="152"/>
      <c r="J1" s="152"/>
      <c r="K1" s="152"/>
      <c r="L1" s="152"/>
      <c r="M1" s="152"/>
      <c r="N1"/>
    </row>
    <row r="2" spans="1:15" ht="21" customHeight="1" x14ac:dyDescent="0.35">
      <c r="C2" s="152" t="s">
        <v>170</v>
      </c>
      <c r="D2" s="152"/>
      <c r="E2" s="152"/>
      <c r="F2" s="152"/>
      <c r="G2" s="152"/>
      <c r="H2" s="152"/>
      <c r="I2" s="152"/>
      <c r="J2" s="152"/>
      <c r="K2" s="152"/>
      <c r="L2" s="152"/>
      <c r="M2" s="152"/>
      <c r="N2"/>
    </row>
    <row r="3" spans="1:15" ht="19.95" customHeight="1" x14ac:dyDescent="0.3">
      <c r="A3" s="142" t="s">
        <v>3</v>
      </c>
      <c r="B3" s="142"/>
      <c r="C3" s="150"/>
      <c r="D3" s="150"/>
      <c r="E3" s="150"/>
      <c r="F3" s="150"/>
      <c r="G3" s="150"/>
      <c r="H3" s="150"/>
      <c r="I3" s="150"/>
      <c r="J3" s="150"/>
      <c r="K3" s="18"/>
      <c r="L3" s="18"/>
      <c r="M3" s="17"/>
      <c r="N3"/>
    </row>
    <row r="4" spans="1:15" ht="19.95" customHeight="1" x14ac:dyDescent="0.3">
      <c r="A4" s="145" t="s">
        <v>8</v>
      </c>
      <c r="B4" s="145"/>
      <c r="C4" s="151"/>
      <c r="D4" s="151"/>
      <c r="E4" s="151"/>
      <c r="F4" s="151"/>
      <c r="G4" s="151"/>
      <c r="H4" s="151"/>
      <c r="I4" s="151"/>
      <c r="J4" s="151"/>
      <c r="K4" s="66" t="s">
        <v>115</v>
      </c>
      <c r="L4" s="154"/>
      <c r="M4" s="154"/>
      <c r="N4" s="154"/>
    </row>
    <row r="5" spans="1:15" ht="6" customHeight="1" x14ac:dyDescent="0.35">
      <c r="C5" s="19"/>
      <c r="D5" s="17"/>
      <c r="E5" s="17"/>
      <c r="F5" s="17"/>
      <c r="G5" s="17"/>
      <c r="H5" s="17"/>
      <c r="I5" s="17"/>
      <c r="J5" s="17"/>
      <c r="K5" s="17"/>
      <c r="L5" s="17"/>
      <c r="M5" s="17"/>
      <c r="N5"/>
    </row>
    <row r="6" spans="1:15" ht="18" customHeight="1" x14ac:dyDescent="0.3">
      <c r="B6" s="26" t="s">
        <v>25</v>
      </c>
      <c r="C6" s="17"/>
      <c r="E6" s="26" t="s">
        <v>10</v>
      </c>
      <c r="G6" s="26"/>
      <c r="H6" s="26" t="s">
        <v>11</v>
      </c>
      <c r="J6" s="26"/>
      <c r="K6" s="26" t="s">
        <v>12</v>
      </c>
      <c r="L6" s="26"/>
      <c r="M6" s="26"/>
      <c r="N6"/>
    </row>
    <row r="7" spans="1:15" ht="18" customHeight="1" x14ac:dyDescent="0.3">
      <c r="B7" s="26" t="s">
        <v>13</v>
      </c>
      <c r="C7" s="17"/>
      <c r="E7" s="26" t="s">
        <v>14</v>
      </c>
      <c r="G7" s="26"/>
      <c r="H7" s="26" t="s">
        <v>15</v>
      </c>
      <c r="J7" s="26"/>
      <c r="K7" s="26" t="s">
        <v>16</v>
      </c>
      <c r="L7" s="26"/>
      <c r="M7" s="26"/>
      <c r="N7"/>
    </row>
    <row r="8" spans="1:15" ht="18" customHeight="1" x14ac:dyDescent="0.3">
      <c r="B8" s="26" t="s">
        <v>26</v>
      </c>
      <c r="C8" s="17"/>
      <c r="E8" s="26" t="s">
        <v>17</v>
      </c>
      <c r="G8" s="26"/>
      <c r="H8" s="26" t="s">
        <v>18</v>
      </c>
      <c r="J8" s="26"/>
      <c r="K8" s="26" t="s">
        <v>27</v>
      </c>
      <c r="L8" s="26"/>
      <c r="M8" s="26"/>
      <c r="N8"/>
    </row>
    <row r="9" spans="1:15" ht="18" customHeight="1" x14ac:dyDescent="0.3">
      <c r="B9" s="26" t="s">
        <v>19</v>
      </c>
      <c r="C9" s="17"/>
      <c r="E9" s="26" t="s">
        <v>28</v>
      </c>
      <c r="G9" s="26"/>
      <c r="H9" s="26" t="s">
        <v>20</v>
      </c>
      <c r="J9" s="26"/>
      <c r="K9" s="26" t="s">
        <v>21</v>
      </c>
      <c r="L9" s="26"/>
      <c r="M9" s="26"/>
      <c r="N9"/>
    </row>
    <row r="10" spans="1:15" ht="6" customHeight="1" thickBot="1" x14ac:dyDescent="0.35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/>
    </row>
    <row r="11" spans="1:15" ht="18" customHeight="1" x14ac:dyDescent="0.35">
      <c r="A11" s="146" t="s">
        <v>6</v>
      </c>
      <c r="B11" s="148" t="s">
        <v>31</v>
      </c>
      <c r="C11" s="143" t="s">
        <v>22</v>
      </c>
      <c r="D11" s="144"/>
      <c r="E11" s="144" t="s">
        <v>23</v>
      </c>
      <c r="F11" s="144"/>
      <c r="G11" s="144"/>
      <c r="H11" s="144"/>
      <c r="I11" s="144"/>
      <c r="J11" s="144"/>
      <c r="K11" s="144" t="s">
        <v>24</v>
      </c>
      <c r="L11" s="144"/>
      <c r="M11" s="144" t="s">
        <v>84</v>
      </c>
      <c r="N11" s="144" t="s">
        <v>114</v>
      </c>
      <c r="O11" s="7"/>
    </row>
    <row r="12" spans="1:15" ht="18" customHeight="1" x14ac:dyDescent="0.35">
      <c r="A12" s="147"/>
      <c r="B12" s="149"/>
      <c r="C12" s="143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7"/>
    </row>
    <row r="13" spans="1:15" ht="19.2" customHeight="1" x14ac:dyDescent="0.35">
      <c r="A13" s="20" t="s">
        <v>129</v>
      </c>
      <c r="B13" s="23">
        <v>697</v>
      </c>
      <c r="C13" s="140" t="s">
        <v>95</v>
      </c>
      <c r="D13" s="141"/>
      <c r="E13" s="25">
        <v>3</v>
      </c>
      <c r="F13" s="25">
        <v>1.4</v>
      </c>
      <c r="G13" s="25"/>
      <c r="H13" s="25"/>
      <c r="I13" s="25"/>
      <c r="J13" s="25"/>
      <c r="K13" s="137">
        <f>IF(SUM(E13:J13)=0,"",SUM(E13:J13))</f>
        <v>4.4000000000000004</v>
      </c>
      <c r="L13" s="137"/>
      <c r="M13" s="29">
        <f>ROUND((K13/B13)*100,2)</f>
        <v>0.63</v>
      </c>
      <c r="N13" s="25">
        <f t="shared" ref="N13:N62" si="0">IFERROR(IF(M13&lt;0.1,0,ROUND(VLOOKUP(C13,DVtable,2,FALSE)*(LOG(M13))^6+VLOOKUP(C13,DVtable,3,FALSE)*(LOG(M13))^5+VLOOKUP(C13,DVtable,4,FALSE)*(LOG(M13))^4+VLOOKUP(C13,DVtable,5,FALSE)*(LOG(M13))^3+VLOOKUP(C13,DVtable,6,FALSE)*(LOG(M13))^2+VLOOKUP(C13,DVtable,7,FALSE)*(LOG(M13))+VLOOKUP(C13,DVtable,8,FALSE),2)),0)</f>
        <v>6.3</v>
      </c>
      <c r="O13" s="7"/>
    </row>
    <row r="14" spans="1:15" ht="19.2" customHeight="1" x14ac:dyDescent="0.35">
      <c r="A14" s="20" t="s">
        <v>129</v>
      </c>
      <c r="B14" s="23">
        <v>697</v>
      </c>
      <c r="C14" s="140" t="s">
        <v>72</v>
      </c>
      <c r="D14" s="141"/>
      <c r="E14" s="25">
        <v>4.5</v>
      </c>
      <c r="F14" s="25">
        <v>0.5</v>
      </c>
      <c r="G14" s="25">
        <v>0.8</v>
      </c>
      <c r="H14" s="25"/>
      <c r="I14" s="25"/>
      <c r="J14" s="25"/>
      <c r="K14" s="137">
        <f t="shared" ref="K14:K15" si="1">IF(SUM(E14:J14)=0,"",SUM(E14:J14))</f>
        <v>5.8</v>
      </c>
      <c r="L14" s="137"/>
      <c r="M14" s="29">
        <f t="shared" ref="M14:M100" si="2">ROUND((K14/B14)*100,2)</f>
        <v>0.83</v>
      </c>
      <c r="N14" s="25">
        <f t="shared" si="0"/>
        <v>4.5599999999999996</v>
      </c>
      <c r="O14" s="7"/>
    </row>
    <row r="15" spans="1:15" ht="19.2" customHeight="1" x14ac:dyDescent="0.35">
      <c r="A15" s="20" t="s">
        <v>129</v>
      </c>
      <c r="B15" s="23">
        <v>697</v>
      </c>
      <c r="C15" s="140">
        <v>11</v>
      </c>
      <c r="D15" s="141"/>
      <c r="E15" s="25">
        <v>12</v>
      </c>
      <c r="F15" s="25">
        <v>4</v>
      </c>
      <c r="G15" s="30" t="s">
        <v>119</v>
      </c>
      <c r="H15" s="25"/>
      <c r="I15" s="25"/>
      <c r="J15" s="25"/>
      <c r="K15" s="137">
        <f t="shared" si="1"/>
        <v>16</v>
      </c>
      <c r="L15" s="137"/>
      <c r="M15" s="29">
        <f t="shared" si="2"/>
        <v>2.2999999999999998</v>
      </c>
      <c r="N15" s="25">
        <f t="shared" si="0"/>
        <v>5.78</v>
      </c>
      <c r="O15" s="7"/>
    </row>
    <row r="16" spans="1:15" ht="19.2" customHeight="1" x14ac:dyDescent="0.35">
      <c r="A16" s="21" t="s">
        <v>129</v>
      </c>
      <c r="B16" s="23">
        <v>697</v>
      </c>
      <c r="C16" s="140" t="s">
        <v>69</v>
      </c>
      <c r="D16" s="141"/>
      <c r="E16" s="25">
        <f>5%*B16</f>
        <v>34.85</v>
      </c>
      <c r="F16" s="25"/>
      <c r="G16" s="25"/>
      <c r="H16" s="25"/>
      <c r="I16" s="25"/>
      <c r="J16" s="25"/>
      <c r="K16" s="137">
        <f t="shared" ref="K16:K62" si="3">IF(SUM(E16:J16)=0,"",SUM(E16:J16))</f>
        <v>34.85</v>
      </c>
      <c r="L16" s="137"/>
      <c r="M16" s="29">
        <f t="shared" si="2"/>
        <v>5</v>
      </c>
      <c r="N16" s="25">
        <f t="shared" si="0"/>
        <v>6.9</v>
      </c>
      <c r="O16" s="7"/>
    </row>
    <row r="17" spans="1:15" ht="19.2" customHeight="1" x14ac:dyDescent="0.35">
      <c r="A17" s="21" t="s">
        <v>130</v>
      </c>
      <c r="B17" s="23">
        <v>550</v>
      </c>
      <c r="C17" s="140" t="s">
        <v>72</v>
      </c>
      <c r="D17" s="141"/>
      <c r="E17" s="25">
        <v>3.5</v>
      </c>
      <c r="F17" s="25">
        <v>2.6</v>
      </c>
      <c r="G17" s="25"/>
      <c r="H17" s="25"/>
      <c r="I17" s="25"/>
      <c r="J17" s="25"/>
      <c r="K17" s="137">
        <f t="shared" si="3"/>
        <v>6.1</v>
      </c>
      <c r="L17" s="137"/>
      <c r="M17" s="29">
        <f t="shared" si="2"/>
        <v>1.1100000000000001</v>
      </c>
      <c r="N17" s="25">
        <f t="shared" si="0"/>
        <v>5.14</v>
      </c>
      <c r="O17" s="7"/>
    </row>
    <row r="18" spans="1:15" ht="19.2" customHeight="1" x14ac:dyDescent="0.35">
      <c r="A18" s="21" t="s">
        <v>130</v>
      </c>
      <c r="B18" s="23">
        <v>550</v>
      </c>
      <c r="C18" s="140" t="s">
        <v>75</v>
      </c>
      <c r="D18" s="141"/>
      <c r="E18" s="25">
        <v>1.5</v>
      </c>
      <c r="F18" s="25"/>
      <c r="G18" s="25"/>
      <c r="H18" s="25"/>
      <c r="I18" s="25"/>
      <c r="J18" s="25"/>
      <c r="K18" s="137">
        <f t="shared" si="3"/>
        <v>1.5</v>
      </c>
      <c r="L18" s="137"/>
      <c r="M18" s="29">
        <f t="shared" si="2"/>
        <v>0.27</v>
      </c>
      <c r="N18" s="25">
        <f t="shared" si="0"/>
        <v>5.27</v>
      </c>
      <c r="O18" s="7"/>
    </row>
    <row r="19" spans="1:15" ht="19.2" customHeight="1" x14ac:dyDescent="0.35">
      <c r="A19" s="21" t="s">
        <v>130</v>
      </c>
      <c r="B19" s="23">
        <v>550</v>
      </c>
      <c r="C19" s="140">
        <v>11</v>
      </c>
      <c r="D19" s="141"/>
      <c r="E19" s="25">
        <v>10</v>
      </c>
      <c r="F19" s="25">
        <v>6</v>
      </c>
      <c r="G19" s="30" t="s">
        <v>119</v>
      </c>
      <c r="H19" s="25"/>
      <c r="I19" s="25"/>
      <c r="J19" s="25"/>
      <c r="K19" s="137">
        <f t="shared" si="3"/>
        <v>16</v>
      </c>
      <c r="L19" s="137"/>
      <c r="M19" s="29">
        <f t="shared" si="2"/>
        <v>2.91</v>
      </c>
      <c r="N19" s="25">
        <f t="shared" si="0"/>
        <v>6.97</v>
      </c>
      <c r="O19" s="7"/>
    </row>
    <row r="20" spans="1:15" ht="19.2" customHeight="1" x14ac:dyDescent="0.35">
      <c r="A20" s="21" t="s">
        <v>130</v>
      </c>
      <c r="B20" s="23">
        <v>550</v>
      </c>
      <c r="C20" s="140" t="s">
        <v>69</v>
      </c>
      <c r="D20" s="141"/>
      <c r="E20" s="25">
        <f>10%*B20</f>
        <v>55</v>
      </c>
      <c r="F20" s="25"/>
      <c r="G20" s="25"/>
      <c r="H20" s="25"/>
      <c r="I20" s="25"/>
      <c r="J20" s="25"/>
      <c r="K20" s="137">
        <f t="shared" si="3"/>
        <v>55</v>
      </c>
      <c r="L20" s="137"/>
      <c r="M20" s="29">
        <f t="shared" si="2"/>
        <v>10</v>
      </c>
      <c r="N20" s="25">
        <f t="shared" si="0"/>
        <v>9.98</v>
      </c>
      <c r="O20" s="7"/>
    </row>
    <row r="21" spans="1:15" ht="19.2" customHeight="1" x14ac:dyDescent="0.35">
      <c r="A21" s="21" t="s">
        <v>131</v>
      </c>
      <c r="B21" s="23">
        <v>550</v>
      </c>
      <c r="C21" s="140" t="s">
        <v>95</v>
      </c>
      <c r="D21" s="141"/>
      <c r="E21" s="25">
        <v>1.5</v>
      </c>
      <c r="F21" s="25">
        <v>0.6</v>
      </c>
      <c r="G21" s="25"/>
      <c r="H21" s="25"/>
      <c r="I21" s="25"/>
      <c r="J21" s="25"/>
      <c r="K21" s="137">
        <f t="shared" si="3"/>
        <v>2.1</v>
      </c>
      <c r="L21" s="137"/>
      <c r="M21" s="29">
        <f t="shared" si="2"/>
        <v>0.38</v>
      </c>
      <c r="N21" s="25">
        <f t="shared" si="0"/>
        <v>5.46</v>
      </c>
      <c r="O21" s="7"/>
    </row>
    <row r="22" spans="1:15" ht="19.2" customHeight="1" x14ac:dyDescent="0.35">
      <c r="A22" s="21" t="s">
        <v>131</v>
      </c>
      <c r="B22" s="23">
        <v>550</v>
      </c>
      <c r="C22" s="140" t="s">
        <v>72</v>
      </c>
      <c r="D22" s="141"/>
      <c r="E22" s="25">
        <f>3*0.6</f>
        <v>1.7999999999999998</v>
      </c>
      <c r="F22" s="25">
        <v>2.6</v>
      </c>
      <c r="G22" s="25">
        <v>2.2000000000000002</v>
      </c>
      <c r="H22" s="25"/>
      <c r="I22" s="25"/>
      <c r="J22" s="25"/>
      <c r="K22" s="137">
        <f t="shared" si="3"/>
        <v>6.6000000000000005</v>
      </c>
      <c r="L22" s="137"/>
      <c r="M22" s="29">
        <f t="shared" si="2"/>
        <v>1.2</v>
      </c>
      <c r="N22" s="25">
        <f t="shared" si="0"/>
        <v>5.34</v>
      </c>
      <c r="O22" s="7"/>
    </row>
    <row r="23" spans="1:15" ht="19.2" customHeight="1" x14ac:dyDescent="0.35">
      <c r="A23" s="21" t="s">
        <v>131</v>
      </c>
      <c r="B23" s="23">
        <v>550</v>
      </c>
      <c r="C23" s="140" t="s">
        <v>73</v>
      </c>
      <c r="D23" s="141"/>
      <c r="E23" s="25">
        <v>10</v>
      </c>
      <c r="F23" s="25">
        <v>5</v>
      </c>
      <c r="G23" s="25">
        <v>2</v>
      </c>
      <c r="H23" s="25"/>
      <c r="I23" s="25"/>
      <c r="J23" s="25"/>
      <c r="K23" s="137">
        <f t="shared" si="3"/>
        <v>17</v>
      </c>
      <c r="L23" s="137"/>
      <c r="M23" s="29">
        <f t="shared" si="2"/>
        <v>3.09</v>
      </c>
      <c r="N23" s="25">
        <f t="shared" si="0"/>
        <v>12.96</v>
      </c>
      <c r="O23" s="7"/>
    </row>
    <row r="24" spans="1:15" ht="19.95" customHeight="1" x14ac:dyDescent="0.35">
      <c r="A24" s="21" t="s">
        <v>132</v>
      </c>
      <c r="B24" s="23">
        <v>621</v>
      </c>
      <c r="C24" s="140" t="s">
        <v>72</v>
      </c>
      <c r="D24" s="141"/>
      <c r="E24" s="25">
        <v>5</v>
      </c>
      <c r="F24" s="25">
        <v>1</v>
      </c>
      <c r="G24" s="25">
        <v>0.5</v>
      </c>
      <c r="H24" s="25">
        <v>0.8</v>
      </c>
      <c r="I24" s="25"/>
      <c r="J24" s="25"/>
      <c r="K24" s="137">
        <f t="shared" si="3"/>
        <v>7.3</v>
      </c>
      <c r="L24" s="137"/>
      <c r="M24" s="29">
        <f t="shared" si="2"/>
        <v>1.18</v>
      </c>
      <c r="N24" s="25">
        <f t="shared" si="0"/>
        <v>5.29</v>
      </c>
      <c r="O24" s="7"/>
    </row>
    <row r="25" spans="1:15" ht="19.95" customHeight="1" x14ac:dyDescent="0.35">
      <c r="A25" s="21" t="s">
        <v>132</v>
      </c>
      <c r="B25" s="23">
        <v>621</v>
      </c>
      <c r="C25" s="140">
        <v>11</v>
      </c>
      <c r="D25" s="141"/>
      <c r="E25" s="25">
        <v>8</v>
      </c>
      <c r="F25" s="25">
        <v>2</v>
      </c>
      <c r="G25" s="25"/>
      <c r="H25" s="25"/>
      <c r="I25" s="25"/>
      <c r="J25" s="25"/>
      <c r="K25" s="137">
        <f t="shared" si="3"/>
        <v>10</v>
      </c>
      <c r="L25" s="137"/>
      <c r="M25" s="29">
        <f t="shared" si="2"/>
        <v>1.61</v>
      </c>
      <c r="N25" s="25">
        <f t="shared" si="0"/>
        <v>4.32</v>
      </c>
      <c r="O25" s="7"/>
    </row>
    <row r="26" spans="1:15" ht="19.95" customHeight="1" x14ac:dyDescent="0.35">
      <c r="A26" s="21" t="s">
        <v>132</v>
      </c>
      <c r="B26" s="23">
        <v>621</v>
      </c>
      <c r="C26" s="140" t="s">
        <v>69</v>
      </c>
      <c r="D26" s="141"/>
      <c r="E26" s="25">
        <v>2.5</v>
      </c>
      <c r="F26" s="25">
        <v>2.4</v>
      </c>
      <c r="G26" s="25">
        <v>3.5</v>
      </c>
      <c r="H26" s="25">
        <v>0.6</v>
      </c>
      <c r="I26" s="25"/>
      <c r="J26" s="25"/>
      <c r="K26" s="137">
        <f t="shared" si="3"/>
        <v>9</v>
      </c>
      <c r="L26" s="137"/>
      <c r="M26" s="29">
        <f t="shared" si="2"/>
        <v>1.45</v>
      </c>
      <c r="N26" s="25">
        <f t="shared" si="0"/>
        <v>3.51</v>
      </c>
      <c r="O26" s="7"/>
    </row>
    <row r="27" spans="1:15" ht="19.95" customHeight="1" x14ac:dyDescent="0.35">
      <c r="A27" s="21" t="s">
        <v>132</v>
      </c>
      <c r="B27" s="23">
        <v>621</v>
      </c>
      <c r="C27" s="140" t="s">
        <v>73</v>
      </c>
      <c r="D27" s="141"/>
      <c r="E27" s="25">
        <v>3.5</v>
      </c>
      <c r="F27" s="25">
        <v>2.2000000000000002</v>
      </c>
      <c r="G27" s="25">
        <v>1.5</v>
      </c>
      <c r="H27" s="25"/>
      <c r="I27" s="25"/>
      <c r="J27" s="25"/>
      <c r="K27" s="137">
        <f t="shared" si="3"/>
        <v>7.2</v>
      </c>
      <c r="L27" s="137"/>
      <c r="M27" s="29">
        <f t="shared" si="2"/>
        <v>1.1599999999999999</v>
      </c>
      <c r="N27" s="25">
        <f t="shared" si="0"/>
        <v>8.92</v>
      </c>
      <c r="O27" s="7"/>
    </row>
    <row r="28" spans="1:15" ht="19.95" customHeight="1" x14ac:dyDescent="0.35">
      <c r="A28" s="21" t="s">
        <v>133</v>
      </c>
      <c r="B28" s="23">
        <v>690</v>
      </c>
      <c r="C28" s="140" t="s">
        <v>72</v>
      </c>
      <c r="D28" s="141"/>
      <c r="E28" s="25">
        <v>4</v>
      </c>
      <c r="F28" s="25"/>
      <c r="G28" s="25"/>
      <c r="H28" s="25"/>
      <c r="I28" s="25"/>
      <c r="J28" s="25"/>
      <c r="K28" s="137">
        <f t="shared" si="3"/>
        <v>4</v>
      </c>
      <c r="L28" s="137"/>
      <c r="M28" s="29">
        <f t="shared" si="2"/>
        <v>0.57999999999999996</v>
      </c>
      <c r="N28" s="25">
        <f t="shared" si="0"/>
        <v>4.04</v>
      </c>
      <c r="O28" s="7"/>
    </row>
    <row r="29" spans="1:15" ht="19.95" customHeight="1" x14ac:dyDescent="0.35">
      <c r="A29" s="21" t="s">
        <v>133</v>
      </c>
      <c r="B29" s="23">
        <v>690</v>
      </c>
      <c r="C29" s="140" t="s">
        <v>75</v>
      </c>
      <c r="D29" s="141"/>
      <c r="E29" s="25">
        <v>2</v>
      </c>
      <c r="F29" s="25">
        <v>1</v>
      </c>
      <c r="G29" s="25">
        <v>1</v>
      </c>
      <c r="H29" s="25">
        <v>0.8</v>
      </c>
      <c r="I29" s="25"/>
      <c r="J29" s="25"/>
      <c r="K29" s="137">
        <f t="shared" si="3"/>
        <v>4.8</v>
      </c>
      <c r="L29" s="137"/>
      <c r="M29" s="29">
        <f t="shared" si="2"/>
        <v>0.7</v>
      </c>
      <c r="N29" s="25">
        <f t="shared" si="0"/>
        <v>9.26</v>
      </c>
      <c r="O29" s="7"/>
    </row>
    <row r="30" spans="1:15" ht="19.95" customHeight="1" x14ac:dyDescent="0.35">
      <c r="A30" s="21" t="s">
        <v>133</v>
      </c>
      <c r="B30" s="23">
        <v>690</v>
      </c>
      <c r="C30" s="140">
        <v>11</v>
      </c>
      <c r="D30" s="141"/>
      <c r="E30" s="25">
        <v>2.5</v>
      </c>
      <c r="F30" s="25"/>
      <c r="G30" s="25"/>
      <c r="H30" s="25"/>
      <c r="I30" s="25"/>
      <c r="J30" s="25"/>
      <c r="K30" s="137">
        <f t="shared" si="3"/>
        <v>2.5</v>
      </c>
      <c r="L30" s="137"/>
      <c r="M30" s="29">
        <f t="shared" si="2"/>
        <v>0.36</v>
      </c>
      <c r="N30" s="25">
        <f t="shared" si="0"/>
        <v>1.55</v>
      </c>
      <c r="O30" s="7"/>
    </row>
    <row r="31" spans="1:15" ht="19.95" customHeight="1" x14ac:dyDescent="0.35">
      <c r="A31" s="21" t="s">
        <v>134</v>
      </c>
      <c r="B31" s="23">
        <v>627</v>
      </c>
      <c r="C31" s="140" t="s">
        <v>69</v>
      </c>
      <c r="D31" s="141"/>
      <c r="E31" s="25">
        <v>1.5</v>
      </c>
      <c r="F31" s="25"/>
      <c r="G31" s="25"/>
      <c r="H31" s="25"/>
      <c r="I31" s="25"/>
      <c r="J31" s="25"/>
      <c r="K31" s="137">
        <f t="shared" si="3"/>
        <v>1.5</v>
      </c>
      <c r="L31" s="137"/>
      <c r="M31" s="29">
        <f t="shared" si="2"/>
        <v>0.24</v>
      </c>
      <c r="N31" s="25">
        <f t="shared" si="0"/>
        <v>1.62</v>
      </c>
      <c r="O31" s="7"/>
    </row>
    <row r="32" spans="1:15" ht="19.95" customHeight="1" x14ac:dyDescent="0.35">
      <c r="A32" s="21" t="s">
        <v>134</v>
      </c>
      <c r="B32" s="23">
        <v>627</v>
      </c>
      <c r="C32" s="140" t="s">
        <v>30</v>
      </c>
      <c r="D32" s="141"/>
      <c r="E32" s="25">
        <v>1.4</v>
      </c>
      <c r="F32" s="25">
        <v>3.1</v>
      </c>
      <c r="G32" s="25"/>
      <c r="H32" s="25"/>
      <c r="I32" s="25"/>
      <c r="J32" s="25"/>
      <c r="K32" s="137">
        <f t="shared" si="3"/>
        <v>4.5</v>
      </c>
      <c r="L32" s="137"/>
      <c r="M32" s="29">
        <f t="shared" si="2"/>
        <v>0.72</v>
      </c>
      <c r="N32" s="25">
        <f t="shared" si="0"/>
        <v>13.58</v>
      </c>
      <c r="O32" s="7"/>
    </row>
    <row r="33" spans="1:15" ht="19.95" customHeight="1" x14ac:dyDescent="0.35">
      <c r="A33" s="21" t="s">
        <v>32</v>
      </c>
      <c r="B33" s="23">
        <v>621</v>
      </c>
      <c r="C33" s="140" t="s">
        <v>72</v>
      </c>
      <c r="D33" s="141"/>
      <c r="E33" s="25">
        <v>3</v>
      </c>
      <c r="F33" s="25">
        <v>6</v>
      </c>
      <c r="G33" s="25">
        <v>2</v>
      </c>
      <c r="H33" s="25">
        <v>0.5</v>
      </c>
      <c r="I33" s="25">
        <v>0.5</v>
      </c>
      <c r="J33" s="25"/>
      <c r="K33" s="137">
        <f t="shared" si="3"/>
        <v>12</v>
      </c>
      <c r="L33" s="137"/>
      <c r="M33" s="29">
        <f t="shared" si="2"/>
        <v>1.93</v>
      </c>
      <c r="N33" s="25">
        <f t="shared" si="0"/>
        <v>7.1</v>
      </c>
      <c r="O33" s="7"/>
    </row>
    <row r="34" spans="1:15" ht="19.95" customHeight="1" x14ac:dyDescent="0.35">
      <c r="A34" s="21" t="s">
        <v>32</v>
      </c>
      <c r="B34" s="23">
        <v>621</v>
      </c>
      <c r="C34" s="140">
        <v>11</v>
      </c>
      <c r="D34" s="141"/>
      <c r="E34" s="25">
        <v>21</v>
      </c>
      <c r="F34" s="25">
        <v>13</v>
      </c>
      <c r="G34" s="25"/>
      <c r="H34" s="25"/>
      <c r="I34" s="25"/>
      <c r="J34" s="25"/>
      <c r="K34" s="137">
        <f t="shared" si="3"/>
        <v>34</v>
      </c>
      <c r="L34" s="137"/>
      <c r="M34" s="29">
        <f t="shared" si="2"/>
        <v>5.48</v>
      </c>
      <c r="N34" s="25">
        <f t="shared" si="0"/>
        <v>11.23</v>
      </c>
      <c r="O34" s="7"/>
    </row>
    <row r="35" spans="1:15" ht="19.95" customHeight="1" x14ac:dyDescent="0.35">
      <c r="A35" s="21" t="s">
        <v>32</v>
      </c>
      <c r="B35" s="23">
        <v>621</v>
      </c>
      <c r="C35" s="140" t="s">
        <v>69</v>
      </c>
      <c r="D35" s="141"/>
      <c r="E35" s="25">
        <f>5%*B35</f>
        <v>31.05</v>
      </c>
      <c r="F35" s="25"/>
      <c r="G35" s="25"/>
      <c r="H35" s="25"/>
      <c r="I35" s="25"/>
      <c r="J35" s="25"/>
      <c r="K35" s="137">
        <f t="shared" ref="K35:K36" si="4">IF(SUM(E35:J35)=0,"",SUM(E35:J35))</f>
        <v>31.05</v>
      </c>
      <c r="L35" s="137"/>
      <c r="M35" s="29">
        <f t="shared" ref="M35:M36" si="5">ROUND((K35/B35)*100,2)</f>
        <v>5</v>
      </c>
      <c r="N35" s="25">
        <f t="shared" ref="N35:N36" si="6">IFERROR(IF(M35&lt;0.1,0,ROUND(VLOOKUP(C35,DVtable,2,FALSE)*(LOG(M35))^6+VLOOKUP(C35,DVtable,3,FALSE)*(LOG(M35))^5+VLOOKUP(C35,DVtable,4,FALSE)*(LOG(M35))^4+VLOOKUP(C35,DVtable,5,FALSE)*(LOG(M35))^3+VLOOKUP(C35,DVtable,6,FALSE)*(LOG(M35))^2+VLOOKUP(C35,DVtable,7,FALSE)*(LOG(M35))+VLOOKUP(C35,DVtable,8,FALSE),2)),0)</f>
        <v>6.9</v>
      </c>
      <c r="O35" s="7"/>
    </row>
    <row r="36" spans="1:15" ht="19.95" customHeight="1" x14ac:dyDescent="0.35">
      <c r="A36" s="21" t="s">
        <v>32</v>
      </c>
      <c r="B36" s="23">
        <v>621</v>
      </c>
      <c r="C36" s="140" t="s">
        <v>73</v>
      </c>
      <c r="D36" s="141"/>
      <c r="E36" s="25">
        <v>15.5</v>
      </c>
      <c r="F36" s="25"/>
      <c r="G36" s="25"/>
      <c r="H36" s="25"/>
      <c r="I36" s="25"/>
      <c r="J36" s="25"/>
      <c r="K36" s="137">
        <f t="shared" si="4"/>
        <v>15.5</v>
      </c>
      <c r="L36" s="137"/>
      <c r="M36" s="29">
        <f t="shared" si="5"/>
        <v>2.5</v>
      </c>
      <c r="N36" s="25">
        <f t="shared" si="6"/>
        <v>11.98</v>
      </c>
      <c r="O36" s="7"/>
    </row>
    <row r="37" spans="1:15" x14ac:dyDescent="0.35">
      <c r="A37" s="21" t="s">
        <v>33</v>
      </c>
      <c r="B37" s="23">
        <v>690</v>
      </c>
      <c r="C37" s="140" t="s">
        <v>72</v>
      </c>
      <c r="D37" s="141"/>
      <c r="E37" s="25">
        <v>8</v>
      </c>
      <c r="F37" s="25">
        <v>2</v>
      </c>
      <c r="G37" s="25"/>
      <c r="H37" s="25"/>
      <c r="I37" s="25"/>
      <c r="J37" s="25"/>
      <c r="K37" s="137">
        <f t="shared" si="3"/>
        <v>10</v>
      </c>
      <c r="L37" s="137"/>
      <c r="M37" s="29">
        <f t="shared" si="2"/>
        <v>1.45</v>
      </c>
      <c r="N37" s="25">
        <f t="shared" si="0"/>
        <v>5.91</v>
      </c>
      <c r="O37" s="7"/>
    </row>
    <row r="38" spans="1:15" x14ac:dyDescent="0.35">
      <c r="A38" s="21" t="s">
        <v>33</v>
      </c>
      <c r="B38" s="23">
        <v>690</v>
      </c>
      <c r="C38" s="140" t="s">
        <v>75</v>
      </c>
      <c r="D38" s="141"/>
      <c r="E38" s="25">
        <v>2.1</v>
      </c>
      <c r="F38" s="25">
        <v>2.1</v>
      </c>
      <c r="G38" s="25">
        <v>3.2</v>
      </c>
      <c r="H38" s="25"/>
      <c r="I38" s="25"/>
      <c r="J38" s="25"/>
      <c r="K38" s="137">
        <f t="shared" ref="K38:K41" si="7">IF(SUM(E38:J38)=0,"",SUM(E38:J38))</f>
        <v>7.4</v>
      </c>
      <c r="L38" s="137"/>
      <c r="M38" s="29">
        <f t="shared" ref="M38:M41" si="8">ROUND((K38/B38)*100,2)</f>
        <v>1.07</v>
      </c>
      <c r="N38" s="25">
        <f t="shared" ref="N38:N41" si="9">IFERROR(IF(M38&lt;0.1,0,ROUND(VLOOKUP(C38,DVtable,2,FALSE)*(LOG(M38))^6+VLOOKUP(C38,DVtable,3,FALSE)*(LOG(M38))^5+VLOOKUP(C38,DVtable,4,FALSE)*(LOG(M38))^4+VLOOKUP(C38,DVtable,5,FALSE)*(LOG(M38))^3+VLOOKUP(C38,DVtable,6,FALSE)*(LOG(M38))^2+VLOOKUP(C38,DVtable,7,FALSE)*(LOG(M38))+VLOOKUP(C38,DVtable,8,FALSE),2)),0)</f>
        <v>11.32</v>
      </c>
      <c r="O38" s="7"/>
    </row>
    <row r="39" spans="1:15" x14ac:dyDescent="0.35">
      <c r="A39" s="21" t="s">
        <v>33</v>
      </c>
      <c r="B39" s="23">
        <v>690</v>
      </c>
      <c r="C39" s="140">
        <v>11</v>
      </c>
      <c r="D39" s="141"/>
      <c r="E39" s="25">
        <v>8.5</v>
      </c>
      <c r="F39" s="25">
        <v>2.2000000000000002</v>
      </c>
      <c r="G39" s="25"/>
      <c r="H39" s="25"/>
      <c r="I39" s="25"/>
      <c r="J39" s="25"/>
      <c r="K39" s="137">
        <f t="shared" si="7"/>
        <v>10.7</v>
      </c>
      <c r="L39" s="137"/>
      <c r="M39" s="29">
        <f t="shared" si="8"/>
        <v>1.55</v>
      </c>
      <c r="N39" s="25">
        <f t="shared" si="9"/>
        <v>4.1900000000000004</v>
      </c>
      <c r="O39" s="7"/>
    </row>
    <row r="40" spans="1:15" x14ac:dyDescent="0.35">
      <c r="A40" s="21" t="s">
        <v>33</v>
      </c>
      <c r="B40" s="23">
        <v>690</v>
      </c>
      <c r="C40" s="140" t="s">
        <v>69</v>
      </c>
      <c r="D40" s="141"/>
      <c r="E40" s="25">
        <v>20</v>
      </c>
      <c r="F40" s="25">
        <v>10</v>
      </c>
      <c r="G40" s="25"/>
      <c r="H40" s="25"/>
      <c r="I40" s="25"/>
      <c r="J40" s="25"/>
      <c r="K40" s="137">
        <f t="shared" si="7"/>
        <v>30</v>
      </c>
      <c r="L40" s="137"/>
      <c r="M40" s="29">
        <f t="shared" si="8"/>
        <v>4.3499999999999996</v>
      </c>
      <c r="N40" s="25">
        <f t="shared" si="9"/>
        <v>6.39</v>
      </c>
      <c r="O40" s="7"/>
    </row>
    <row r="41" spans="1:15" x14ac:dyDescent="0.35">
      <c r="A41" s="21" t="s">
        <v>33</v>
      </c>
      <c r="B41" s="23">
        <v>690</v>
      </c>
      <c r="C41" s="140" t="s">
        <v>30</v>
      </c>
      <c r="D41" s="141"/>
      <c r="E41" s="25">
        <v>2.2000000000000002</v>
      </c>
      <c r="F41" s="25">
        <v>3.5</v>
      </c>
      <c r="G41" s="25">
        <v>1</v>
      </c>
      <c r="H41" s="25">
        <v>0.8</v>
      </c>
      <c r="I41" s="25"/>
      <c r="J41" s="25"/>
      <c r="K41" s="137">
        <f t="shared" si="7"/>
        <v>7.5</v>
      </c>
      <c r="L41" s="137"/>
      <c r="M41" s="29">
        <f t="shared" si="8"/>
        <v>1.0900000000000001</v>
      </c>
      <c r="N41" s="25">
        <f t="shared" si="9"/>
        <v>17.850000000000001</v>
      </c>
      <c r="O41" s="7"/>
    </row>
    <row r="42" spans="1:15" x14ac:dyDescent="0.35">
      <c r="A42" s="21" t="s">
        <v>34</v>
      </c>
      <c r="B42" s="23">
        <v>627</v>
      </c>
      <c r="C42" s="140" t="s">
        <v>75</v>
      </c>
      <c r="D42" s="141"/>
      <c r="E42" s="25">
        <v>5</v>
      </c>
      <c r="F42" s="25">
        <v>3</v>
      </c>
      <c r="G42" s="25">
        <v>2</v>
      </c>
      <c r="H42" s="25"/>
      <c r="I42" s="25"/>
      <c r="J42" s="25"/>
      <c r="K42" s="137">
        <f t="shared" si="3"/>
        <v>10</v>
      </c>
      <c r="L42" s="137"/>
      <c r="M42" s="29">
        <f t="shared" si="2"/>
        <v>1.59</v>
      </c>
      <c r="N42" s="25">
        <f>IFERROR(IF(M42&lt;0.1,0,ROUND(VLOOKUP(C42,DVtable,2,FALSE)*(LOG(M42))^6+VLOOKUP(C42,DVtable,3,FALSE)*(LOG(M42))^5+VLOOKUP(C42,DVtable,4,FALSE)*(LOG(M42))^4+VLOOKUP(C42,DVtable,5,FALSE)*(LOG(M42))^3+VLOOKUP(C42,DVtable,6,FALSE)*(LOG(M42))^2+VLOOKUP(C42,DVtable,7,FALSE)*(LOG(M42))+VLOOKUP(C42,DVtable,8,FALSE),2)),0)</f>
        <v>13.7</v>
      </c>
      <c r="O42" s="7"/>
    </row>
    <row r="43" spans="1:15" x14ac:dyDescent="0.35">
      <c r="A43" s="21" t="s">
        <v>34</v>
      </c>
      <c r="B43" s="23">
        <v>627</v>
      </c>
      <c r="C43" s="153" t="s">
        <v>73</v>
      </c>
      <c r="D43" s="140"/>
      <c r="E43" s="25">
        <v>15</v>
      </c>
      <c r="F43" s="25">
        <v>10</v>
      </c>
      <c r="G43" s="25">
        <v>5</v>
      </c>
      <c r="H43" s="25"/>
      <c r="I43" s="25"/>
      <c r="J43" s="25"/>
      <c r="K43" s="137">
        <f t="shared" ref="K43:K44" si="10">IF(SUM(E43:J43)=0,"",SUM(E43:J43))</f>
        <v>30</v>
      </c>
      <c r="L43" s="137"/>
      <c r="M43" s="29">
        <f t="shared" ref="M43:M44" si="11">ROUND((K43/B43)*100,2)</f>
        <v>4.78</v>
      </c>
      <c r="N43" s="25">
        <f>IFERROR(IF(M43&lt;0.1,0,ROUND(VLOOKUP(C43,DVtable,2,FALSE)*(LOG(M43))^6+VLOOKUP(C43,DVtable,3,FALSE)*(LOG(M43))^5+VLOOKUP(C43,DVtable,4,FALSE)*(LOG(M43))^4+VLOOKUP(C43,DVtable,5,FALSE)*(LOG(M43))^3+VLOOKUP(C43,DVtable,6,FALSE)*(LOG(M43))^2+VLOOKUP(C43,DVtable,7,FALSE)*(LOG(M43))+VLOOKUP(C43,DVtable,8,FALSE),2)),0)</f>
        <v>15.26</v>
      </c>
      <c r="O43" s="7"/>
    </row>
    <row r="44" spans="1:15" x14ac:dyDescent="0.35">
      <c r="A44" s="21" t="s">
        <v>34</v>
      </c>
      <c r="B44" s="23">
        <v>627</v>
      </c>
      <c r="C44" s="153" t="s">
        <v>30</v>
      </c>
      <c r="D44" s="140"/>
      <c r="E44" s="25">
        <v>5</v>
      </c>
      <c r="F44" s="25"/>
      <c r="G44" s="25"/>
      <c r="H44" s="25"/>
      <c r="I44" s="25"/>
      <c r="J44" s="25"/>
      <c r="K44" s="137">
        <f t="shared" si="10"/>
        <v>5</v>
      </c>
      <c r="L44" s="137"/>
      <c r="M44" s="29">
        <f t="shared" si="11"/>
        <v>0.8</v>
      </c>
      <c r="N44" s="25">
        <f>IFERROR(IF(M44&lt;0.1,0,ROUND(VLOOKUP(C44,DVtable,2,FALSE)*(LOG(M44))^6+VLOOKUP(C44,DVtable,3,FALSE)*(LOG(M44))^5+VLOOKUP(C44,DVtable,4,FALSE)*(LOG(M44))^4+VLOOKUP(C44,DVtable,5,FALSE)*(LOG(M44))^3+VLOOKUP(C44,DVtable,6,FALSE)*(LOG(M44))^2+VLOOKUP(C44,DVtable,7,FALSE)*(LOG(M44))+VLOOKUP(C44,DVtable,8,FALSE),2)),0)</f>
        <v>14.53</v>
      </c>
      <c r="O44" s="7"/>
    </row>
    <row r="45" spans="1:15" x14ac:dyDescent="0.35">
      <c r="A45" s="21" t="s">
        <v>35</v>
      </c>
      <c r="B45" s="23">
        <v>621</v>
      </c>
      <c r="C45" s="140" t="s">
        <v>72</v>
      </c>
      <c r="D45" s="141"/>
      <c r="E45" s="25">
        <v>6</v>
      </c>
      <c r="F45" s="25">
        <v>2</v>
      </c>
      <c r="G45" s="25">
        <v>0.8</v>
      </c>
      <c r="H45" s="25">
        <v>0.8</v>
      </c>
      <c r="I45" s="25">
        <v>0.8</v>
      </c>
      <c r="J45" s="25"/>
      <c r="K45" s="137">
        <f t="shared" si="3"/>
        <v>10.400000000000002</v>
      </c>
      <c r="L45" s="137"/>
      <c r="M45" s="29">
        <f t="shared" si="2"/>
        <v>1.67</v>
      </c>
      <c r="N45" s="25">
        <f t="shared" si="0"/>
        <v>6.45</v>
      </c>
      <c r="O45" s="7"/>
    </row>
    <row r="46" spans="1:15" x14ac:dyDescent="0.35">
      <c r="A46" s="21" t="s">
        <v>35</v>
      </c>
      <c r="B46" s="23">
        <v>621</v>
      </c>
      <c r="C46" s="140" t="s">
        <v>75</v>
      </c>
      <c r="D46" s="141"/>
      <c r="E46" s="25">
        <v>4</v>
      </c>
      <c r="F46" s="25">
        <v>1</v>
      </c>
      <c r="G46" s="25"/>
      <c r="H46" s="25"/>
      <c r="I46" s="25"/>
      <c r="J46" s="25"/>
      <c r="K46" s="137">
        <f t="shared" ref="K46:K49" si="12">IF(SUM(E46:J46)=0,"",SUM(E46:J46))</f>
        <v>5</v>
      </c>
      <c r="L46" s="137"/>
      <c r="M46" s="29">
        <f t="shared" ref="M46:M49" si="13">ROUND((K46/B46)*100,2)</f>
        <v>0.81</v>
      </c>
      <c r="N46" s="25">
        <f t="shared" ref="N46:N49" si="14">IFERROR(IF(M46&lt;0.1,0,ROUND(VLOOKUP(C46,DVtable,2,FALSE)*(LOG(M46))^6+VLOOKUP(C46,DVtable,3,FALSE)*(LOG(M46))^5+VLOOKUP(C46,DVtable,4,FALSE)*(LOG(M46))^4+VLOOKUP(C46,DVtable,5,FALSE)*(LOG(M46))^3+VLOOKUP(C46,DVtable,6,FALSE)*(LOG(M46))^2+VLOOKUP(C46,DVtable,7,FALSE)*(LOG(M46))+VLOOKUP(C46,DVtable,8,FALSE),2)),0)</f>
        <v>9.93</v>
      </c>
      <c r="O46" s="7"/>
    </row>
    <row r="47" spans="1:15" x14ac:dyDescent="0.35">
      <c r="A47" s="21" t="s">
        <v>35</v>
      </c>
      <c r="B47" s="23">
        <v>621</v>
      </c>
      <c r="C47" s="140" t="s">
        <v>68</v>
      </c>
      <c r="D47" s="141"/>
      <c r="E47" s="25">
        <v>1</v>
      </c>
      <c r="F47" s="25"/>
      <c r="G47" s="25"/>
      <c r="H47" s="25"/>
      <c r="I47" s="25"/>
      <c r="J47" s="25"/>
      <c r="K47" s="137">
        <f t="shared" si="12"/>
        <v>1</v>
      </c>
      <c r="L47" s="137"/>
      <c r="M47" s="29">
        <f t="shared" si="13"/>
        <v>0.16</v>
      </c>
      <c r="N47" s="25">
        <f t="shared" si="14"/>
        <v>1.75</v>
      </c>
      <c r="O47" s="7"/>
    </row>
    <row r="48" spans="1:15" x14ac:dyDescent="0.35">
      <c r="A48" s="21" t="s">
        <v>35</v>
      </c>
      <c r="B48" s="23">
        <v>621</v>
      </c>
      <c r="C48" s="140" t="s">
        <v>69</v>
      </c>
      <c r="D48" s="141"/>
      <c r="E48" s="25">
        <v>12</v>
      </c>
      <c r="F48" s="25"/>
      <c r="G48" s="25"/>
      <c r="H48" s="25"/>
      <c r="I48" s="25"/>
      <c r="J48" s="25"/>
      <c r="K48" s="137">
        <f t="shared" si="12"/>
        <v>12</v>
      </c>
      <c r="L48" s="137"/>
      <c r="M48" s="29">
        <f t="shared" si="13"/>
        <v>1.93</v>
      </c>
      <c r="N48" s="25">
        <f t="shared" si="14"/>
        <v>4.08</v>
      </c>
      <c r="O48" s="7"/>
    </row>
    <row r="49" spans="1:15" x14ac:dyDescent="0.35">
      <c r="A49" s="21" t="s">
        <v>35</v>
      </c>
      <c r="B49" s="23">
        <v>621</v>
      </c>
      <c r="C49" s="140" t="s">
        <v>73</v>
      </c>
      <c r="D49" s="141"/>
      <c r="E49" s="25">
        <v>8</v>
      </c>
      <c r="F49" s="25"/>
      <c r="G49" s="25"/>
      <c r="H49" s="25"/>
      <c r="I49" s="25"/>
      <c r="J49" s="25"/>
      <c r="K49" s="137">
        <f t="shared" si="12"/>
        <v>8</v>
      </c>
      <c r="L49" s="137"/>
      <c r="M49" s="29">
        <f t="shared" si="13"/>
        <v>1.29</v>
      </c>
      <c r="N49" s="25">
        <f t="shared" si="14"/>
        <v>9.3000000000000007</v>
      </c>
      <c r="O49" s="7"/>
    </row>
    <row r="50" spans="1:15" x14ac:dyDescent="0.35">
      <c r="A50" s="21" t="s">
        <v>36</v>
      </c>
      <c r="B50" s="23">
        <v>690</v>
      </c>
      <c r="C50" s="140" t="s">
        <v>72</v>
      </c>
      <c r="D50" s="141"/>
      <c r="E50" s="25">
        <v>10</v>
      </c>
      <c r="F50" s="25">
        <v>2</v>
      </c>
      <c r="G50" s="25">
        <v>5</v>
      </c>
      <c r="H50" s="25"/>
      <c r="I50" s="25"/>
      <c r="J50" s="25"/>
      <c r="K50" s="137">
        <f t="shared" si="3"/>
        <v>17</v>
      </c>
      <c r="L50" s="137"/>
      <c r="M50" s="29">
        <f t="shared" si="2"/>
        <v>2.46</v>
      </c>
      <c r="N50" s="25">
        <f t="shared" si="0"/>
        <v>8.4700000000000006</v>
      </c>
      <c r="O50" s="7"/>
    </row>
    <row r="51" spans="1:15" x14ac:dyDescent="0.35">
      <c r="A51" s="21" t="s">
        <v>36</v>
      </c>
      <c r="B51" s="23">
        <v>690</v>
      </c>
      <c r="C51" s="140" t="s">
        <v>75</v>
      </c>
      <c r="D51" s="141"/>
      <c r="E51" s="25">
        <v>6</v>
      </c>
      <c r="F51" s="25">
        <v>2</v>
      </c>
      <c r="G51" s="25"/>
      <c r="H51" s="25"/>
      <c r="I51" s="25"/>
      <c r="J51" s="25"/>
      <c r="K51" s="137">
        <f t="shared" ref="K51:K54" si="15">IF(SUM(E51:J51)=0,"",SUM(E51:J51))</f>
        <v>8</v>
      </c>
      <c r="L51" s="137"/>
      <c r="M51" s="29">
        <f t="shared" ref="M51:M54" si="16">ROUND((K51/B51)*100,2)</f>
        <v>1.1599999999999999</v>
      </c>
      <c r="N51" s="25">
        <f t="shared" ref="N51:N54" si="17">IFERROR(IF(M51&lt;0.1,0,ROUND(VLOOKUP(C51,DVtable,2,FALSE)*(LOG(M51))^6+VLOOKUP(C51,DVtable,3,FALSE)*(LOG(M51))^5+VLOOKUP(C51,DVtable,4,FALSE)*(LOG(M51))^4+VLOOKUP(C51,DVtable,5,FALSE)*(LOG(M51))^3+VLOOKUP(C51,DVtable,6,FALSE)*(LOG(M51))^2+VLOOKUP(C51,DVtable,7,FALSE)*(LOG(M51))+VLOOKUP(C51,DVtable,8,FALSE),2)),0)</f>
        <v>11.76</v>
      </c>
      <c r="O51" s="7"/>
    </row>
    <row r="52" spans="1:15" x14ac:dyDescent="0.35">
      <c r="A52" s="21" t="s">
        <v>36</v>
      </c>
      <c r="B52" s="23">
        <v>690</v>
      </c>
      <c r="C52" s="140">
        <v>11</v>
      </c>
      <c r="D52" s="141"/>
      <c r="E52" s="25">
        <v>7</v>
      </c>
      <c r="F52" s="25">
        <v>2.5</v>
      </c>
      <c r="G52" s="25">
        <v>6</v>
      </c>
      <c r="H52" s="25"/>
      <c r="I52" s="25"/>
      <c r="J52" s="25"/>
      <c r="K52" s="137">
        <f t="shared" si="15"/>
        <v>15.5</v>
      </c>
      <c r="L52" s="137"/>
      <c r="M52" s="29">
        <f t="shared" si="16"/>
        <v>2.25</v>
      </c>
      <c r="N52" s="25">
        <f t="shared" si="17"/>
        <v>5.67</v>
      </c>
      <c r="O52" s="7"/>
    </row>
    <row r="53" spans="1:15" x14ac:dyDescent="0.35">
      <c r="A53" s="21" t="s">
        <v>36</v>
      </c>
      <c r="B53" s="23">
        <v>690</v>
      </c>
      <c r="C53" s="140" t="s">
        <v>69</v>
      </c>
      <c r="D53" s="141"/>
      <c r="E53" s="25">
        <v>9</v>
      </c>
      <c r="F53" s="25">
        <v>2</v>
      </c>
      <c r="G53" s="25">
        <v>10</v>
      </c>
      <c r="H53" s="25"/>
      <c r="I53" s="25"/>
      <c r="J53" s="25"/>
      <c r="K53" s="137">
        <f t="shared" si="15"/>
        <v>21</v>
      </c>
      <c r="L53" s="137"/>
      <c r="M53" s="29">
        <f t="shared" si="16"/>
        <v>3.04</v>
      </c>
      <c r="N53" s="25">
        <f t="shared" si="17"/>
        <v>5.24</v>
      </c>
      <c r="O53" s="7"/>
    </row>
    <row r="54" spans="1:15" x14ac:dyDescent="0.35">
      <c r="A54" s="21" t="s">
        <v>36</v>
      </c>
      <c r="B54" s="23">
        <v>690</v>
      </c>
      <c r="C54" s="140" t="s">
        <v>73</v>
      </c>
      <c r="D54" s="141"/>
      <c r="E54" s="25">
        <v>2</v>
      </c>
      <c r="F54" s="25">
        <v>2</v>
      </c>
      <c r="G54" s="25">
        <v>1.5</v>
      </c>
      <c r="H54" s="25">
        <v>1.2</v>
      </c>
      <c r="I54" s="25"/>
      <c r="J54" s="25"/>
      <c r="K54" s="137">
        <f t="shared" si="15"/>
        <v>6.7</v>
      </c>
      <c r="L54" s="137"/>
      <c r="M54" s="29">
        <f t="shared" si="16"/>
        <v>0.97</v>
      </c>
      <c r="N54" s="25">
        <f t="shared" si="17"/>
        <v>8.3000000000000007</v>
      </c>
      <c r="O54" s="7"/>
    </row>
    <row r="55" spans="1:15" x14ac:dyDescent="0.35">
      <c r="A55" s="21" t="s">
        <v>37</v>
      </c>
      <c r="B55" s="23">
        <v>627</v>
      </c>
      <c r="C55" s="140" t="s">
        <v>73</v>
      </c>
      <c r="D55" s="141"/>
      <c r="E55" s="25">
        <v>15</v>
      </c>
      <c r="F55" s="25"/>
      <c r="G55" s="25"/>
      <c r="H55" s="25"/>
      <c r="I55" s="25"/>
      <c r="J55" s="25"/>
      <c r="K55" s="137">
        <f t="shared" si="3"/>
        <v>15</v>
      </c>
      <c r="L55" s="137"/>
      <c r="M55" s="29">
        <f t="shared" si="2"/>
        <v>2.39</v>
      </c>
      <c r="N55" s="25">
        <f t="shared" si="0"/>
        <v>11.78</v>
      </c>
      <c r="O55" s="7"/>
    </row>
    <row r="56" spans="1:15" x14ac:dyDescent="0.35">
      <c r="A56" s="21" t="s">
        <v>37</v>
      </c>
      <c r="B56" s="23">
        <v>627</v>
      </c>
      <c r="C56" s="140" t="s">
        <v>30</v>
      </c>
      <c r="D56" s="141"/>
      <c r="E56" s="25">
        <v>20</v>
      </c>
      <c r="F56" s="25"/>
      <c r="G56" s="25"/>
      <c r="H56" s="25"/>
      <c r="I56" s="25"/>
      <c r="J56" s="25"/>
      <c r="K56" s="137">
        <f t="shared" si="3"/>
        <v>20</v>
      </c>
      <c r="L56" s="137"/>
      <c r="M56" s="29">
        <f t="shared" si="2"/>
        <v>3.19</v>
      </c>
      <c r="N56" s="25">
        <f t="shared" si="0"/>
        <v>33.89</v>
      </c>
      <c r="O56" s="7"/>
    </row>
    <row r="57" spans="1:15" x14ac:dyDescent="0.35">
      <c r="A57" s="21" t="s">
        <v>37</v>
      </c>
      <c r="B57" s="23">
        <v>627</v>
      </c>
      <c r="C57" s="140" t="s">
        <v>72</v>
      </c>
      <c r="D57" s="141"/>
      <c r="E57" s="25">
        <v>5</v>
      </c>
      <c r="F57" s="25">
        <v>3</v>
      </c>
      <c r="G57" s="25">
        <v>2</v>
      </c>
      <c r="H57" s="25"/>
      <c r="I57" s="25"/>
      <c r="J57" s="25"/>
      <c r="K57" s="137">
        <f t="shared" ref="K57" si="18">IF(SUM(E57:J57)=0,"",SUM(E57:J57))</f>
        <v>10</v>
      </c>
      <c r="L57" s="137"/>
      <c r="M57" s="29">
        <f t="shared" ref="M57" si="19">ROUND((K57/B57)*100,2)</f>
        <v>1.59</v>
      </c>
      <c r="N57" s="25">
        <f t="shared" ref="N57" si="20">IFERROR(IF(M57&lt;0.1,0,ROUND(VLOOKUP(C57,DVtable,2,FALSE)*(LOG(M57))^6+VLOOKUP(C57,DVtable,3,FALSE)*(LOG(M57))^5+VLOOKUP(C57,DVtable,4,FALSE)*(LOG(M57))^4+VLOOKUP(C57,DVtable,5,FALSE)*(LOG(M57))^3+VLOOKUP(C57,DVtable,6,FALSE)*(LOG(M57))^2+VLOOKUP(C57,DVtable,7,FALSE)*(LOG(M57))+VLOOKUP(C57,DVtable,8,FALSE),2)),0)</f>
        <v>6.25</v>
      </c>
      <c r="O57" s="7"/>
    </row>
    <row r="58" spans="1:15" x14ac:dyDescent="0.35">
      <c r="A58" s="21" t="s">
        <v>38</v>
      </c>
      <c r="B58" s="23">
        <v>621</v>
      </c>
      <c r="C58" s="140" t="s">
        <v>71</v>
      </c>
      <c r="D58" s="141"/>
      <c r="E58" s="25">
        <v>2.2000000000000002</v>
      </c>
      <c r="F58" s="25"/>
      <c r="G58" s="25"/>
      <c r="H58" s="25"/>
      <c r="I58" s="25"/>
      <c r="J58" s="25"/>
      <c r="K58" s="137">
        <f t="shared" ref="K58:K60" si="21">IF(SUM(E58:J58)=0,"",SUM(E58:J58))</f>
        <v>2.2000000000000002</v>
      </c>
      <c r="L58" s="137"/>
      <c r="M58" s="29">
        <f t="shared" si="2"/>
        <v>0.35</v>
      </c>
      <c r="N58" s="25">
        <f t="shared" si="0"/>
        <v>12.31</v>
      </c>
      <c r="O58" s="7"/>
    </row>
    <row r="59" spans="1:15" x14ac:dyDescent="0.35">
      <c r="A59" s="21" t="s">
        <v>38</v>
      </c>
      <c r="B59" s="23">
        <v>621</v>
      </c>
      <c r="C59" s="140" t="s">
        <v>72</v>
      </c>
      <c r="D59" s="141"/>
      <c r="E59" s="25">
        <v>3</v>
      </c>
      <c r="F59" s="25">
        <v>4</v>
      </c>
      <c r="G59" s="25">
        <v>1.2</v>
      </c>
      <c r="H59" s="25">
        <v>0.8</v>
      </c>
      <c r="I59" s="25"/>
      <c r="J59" s="25"/>
      <c r="K59" s="137">
        <f t="shared" si="21"/>
        <v>9</v>
      </c>
      <c r="L59" s="137"/>
      <c r="M59" s="29">
        <f t="shared" si="2"/>
        <v>1.45</v>
      </c>
      <c r="N59" s="25">
        <f t="shared" si="0"/>
        <v>5.91</v>
      </c>
      <c r="O59" s="7"/>
    </row>
    <row r="60" spans="1:15" x14ac:dyDescent="0.35">
      <c r="A60" s="21" t="s">
        <v>38</v>
      </c>
      <c r="B60" s="23">
        <v>621</v>
      </c>
      <c r="C60" s="140" t="s">
        <v>75</v>
      </c>
      <c r="D60" s="141"/>
      <c r="E60" s="25">
        <v>0.8</v>
      </c>
      <c r="F60" s="25">
        <v>1.2</v>
      </c>
      <c r="G60" s="25">
        <v>2</v>
      </c>
      <c r="H60" s="25"/>
      <c r="I60" s="25"/>
      <c r="J60" s="25"/>
      <c r="K60" s="137">
        <f t="shared" si="21"/>
        <v>4</v>
      </c>
      <c r="L60" s="137"/>
      <c r="M60" s="29">
        <f t="shared" si="2"/>
        <v>0.64</v>
      </c>
      <c r="N60" s="25">
        <f t="shared" si="0"/>
        <v>8.86</v>
      </c>
      <c r="O60" s="7"/>
    </row>
    <row r="61" spans="1:15" x14ac:dyDescent="0.35">
      <c r="A61" s="21" t="s">
        <v>38</v>
      </c>
      <c r="B61" s="23">
        <v>621</v>
      </c>
      <c r="C61" s="140">
        <v>11</v>
      </c>
      <c r="D61" s="141"/>
      <c r="E61" s="25">
        <v>10</v>
      </c>
      <c r="F61" s="25">
        <v>5</v>
      </c>
      <c r="G61" s="25"/>
      <c r="H61" s="25"/>
      <c r="I61" s="25"/>
      <c r="J61" s="25"/>
      <c r="K61" s="137">
        <f t="shared" si="3"/>
        <v>15</v>
      </c>
      <c r="L61" s="137"/>
      <c r="M61" s="29">
        <f t="shared" si="2"/>
        <v>2.42</v>
      </c>
      <c r="N61" s="25">
        <f t="shared" si="0"/>
        <v>6.02</v>
      </c>
      <c r="O61" s="7"/>
    </row>
    <row r="62" spans="1:15" x14ac:dyDescent="0.35">
      <c r="A62" s="21" t="s">
        <v>39</v>
      </c>
      <c r="B62" s="23">
        <v>690</v>
      </c>
      <c r="C62" s="140" t="s">
        <v>69</v>
      </c>
      <c r="D62" s="141"/>
      <c r="E62" s="25">
        <v>6</v>
      </c>
      <c r="F62" s="25"/>
      <c r="G62" s="25"/>
      <c r="H62" s="25"/>
      <c r="I62" s="25"/>
      <c r="J62" s="25"/>
      <c r="K62" s="137">
        <f t="shared" si="3"/>
        <v>6</v>
      </c>
      <c r="L62" s="137"/>
      <c r="M62" s="29">
        <f t="shared" si="2"/>
        <v>0.87</v>
      </c>
      <c r="N62" s="25">
        <f t="shared" si="0"/>
        <v>2.72</v>
      </c>
      <c r="O62" s="7"/>
    </row>
    <row r="63" spans="1:15" x14ac:dyDescent="0.35">
      <c r="A63" s="21" t="s">
        <v>39</v>
      </c>
      <c r="B63" s="23">
        <v>690</v>
      </c>
      <c r="C63" s="140" t="s">
        <v>73</v>
      </c>
      <c r="D63" s="141"/>
      <c r="E63" s="25">
        <v>2</v>
      </c>
      <c r="F63" s="25"/>
      <c r="G63" s="25"/>
      <c r="H63" s="25"/>
      <c r="I63" s="25"/>
      <c r="J63" s="25"/>
      <c r="K63" s="137">
        <f t="shared" ref="K63:K99" si="22">IF(SUM(E63:J63)=0,"",SUM(E63:J63))</f>
        <v>2</v>
      </c>
      <c r="L63" s="137"/>
      <c r="M63" s="29">
        <f t="shared" si="2"/>
        <v>0.28999999999999998</v>
      </c>
      <c r="N63" s="25">
        <f t="shared" ref="N63:N99" si="23">IFERROR(IF(M63&lt;0.1,0,ROUND(VLOOKUP(C63,DVtable,2,FALSE)*(LOG(M63))^6+VLOOKUP(C63,DVtable,3,FALSE)*(LOG(M63))^5+VLOOKUP(C63,DVtable,4,FALSE)*(LOG(M63))^4+VLOOKUP(C63,DVtable,5,FALSE)*(LOG(M63))^3+VLOOKUP(C63,DVtable,6,FALSE)*(LOG(M63))^2+VLOOKUP(C63,DVtable,7,FALSE)*(LOG(M63))+VLOOKUP(C63,DVtable,8,FALSE),2)),0)</f>
        <v>5.45</v>
      </c>
      <c r="O63" s="7"/>
    </row>
    <row r="64" spans="1:15" x14ac:dyDescent="0.35">
      <c r="A64" s="21" t="s">
        <v>40</v>
      </c>
      <c r="B64" s="23">
        <v>627</v>
      </c>
      <c r="C64" s="140" t="s">
        <v>30</v>
      </c>
      <c r="D64" s="141"/>
      <c r="E64" s="25">
        <v>3</v>
      </c>
      <c r="F64" s="25">
        <v>8</v>
      </c>
      <c r="G64" s="25">
        <v>3.8</v>
      </c>
      <c r="H64" s="25"/>
      <c r="I64" s="25"/>
      <c r="J64" s="25"/>
      <c r="K64" s="137">
        <f t="shared" si="22"/>
        <v>14.8</v>
      </c>
      <c r="L64" s="137"/>
      <c r="M64" s="29">
        <f t="shared" si="2"/>
        <v>2.36</v>
      </c>
      <c r="N64" s="25">
        <f t="shared" si="23"/>
        <v>28.9</v>
      </c>
      <c r="O64" s="7"/>
    </row>
    <row r="65" spans="1:15" x14ac:dyDescent="0.35">
      <c r="A65" s="21" t="s">
        <v>40</v>
      </c>
      <c r="B65" s="23">
        <v>627</v>
      </c>
      <c r="C65" s="140" t="s">
        <v>108</v>
      </c>
      <c r="D65" s="141"/>
      <c r="E65" s="25">
        <v>2</v>
      </c>
      <c r="F65" s="25">
        <v>1.5</v>
      </c>
      <c r="G65" s="25"/>
      <c r="H65" s="25"/>
      <c r="I65" s="25"/>
      <c r="J65" s="25"/>
      <c r="K65" s="137">
        <f t="shared" si="22"/>
        <v>3.5</v>
      </c>
      <c r="L65" s="137"/>
      <c r="M65" s="29">
        <f t="shared" si="2"/>
        <v>0.56000000000000005</v>
      </c>
      <c r="N65" s="25">
        <f t="shared" si="23"/>
        <v>2.27</v>
      </c>
      <c r="O65" s="7"/>
    </row>
    <row r="66" spans="1:15" x14ac:dyDescent="0.35">
      <c r="A66" s="21" t="s">
        <v>41</v>
      </c>
      <c r="B66" s="23">
        <v>621</v>
      </c>
      <c r="C66" s="140" t="s">
        <v>95</v>
      </c>
      <c r="D66" s="141"/>
      <c r="E66" s="25">
        <v>3.3</v>
      </c>
      <c r="F66" s="25">
        <v>2.1</v>
      </c>
      <c r="G66" s="25">
        <v>1.2</v>
      </c>
      <c r="H66" s="25"/>
      <c r="I66" s="25"/>
      <c r="J66" s="25"/>
      <c r="K66" s="137">
        <f t="shared" si="22"/>
        <v>6.6000000000000005</v>
      </c>
      <c r="L66" s="137"/>
      <c r="M66" s="29">
        <f t="shared" si="2"/>
        <v>1.06</v>
      </c>
      <c r="N66" s="25">
        <f t="shared" si="23"/>
        <v>7.44</v>
      </c>
      <c r="O66" s="7"/>
    </row>
    <row r="67" spans="1:15" x14ac:dyDescent="0.35">
      <c r="A67" s="21" t="s">
        <v>41</v>
      </c>
      <c r="B67" s="23">
        <v>621</v>
      </c>
      <c r="C67" s="140" t="s">
        <v>72</v>
      </c>
      <c r="D67" s="141"/>
      <c r="E67" s="25">
        <v>5</v>
      </c>
      <c r="F67" s="25">
        <v>6</v>
      </c>
      <c r="G67" s="25">
        <v>2</v>
      </c>
      <c r="H67" s="25">
        <v>1</v>
      </c>
      <c r="I67" s="25">
        <v>0.5</v>
      </c>
      <c r="J67" s="25"/>
      <c r="K67" s="137">
        <f t="shared" si="22"/>
        <v>14.5</v>
      </c>
      <c r="L67" s="137"/>
      <c r="M67" s="29">
        <f t="shared" si="2"/>
        <v>2.33</v>
      </c>
      <c r="N67" s="25">
        <f t="shared" si="23"/>
        <v>8.1300000000000008</v>
      </c>
      <c r="O67" s="7"/>
    </row>
    <row r="68" spans="1:15" x14ac:dyDescent="0.35">
      <c r="A68" s="21" t="s">
        <v>41</v>
      </c>
      <c r="B68" s="23">
        <v>621</v>
      </c>
      <c r="C68" s="138" t="s">
        <v>69</v>
      </c>
      <c r="D68" s="139"/>
      <c r="E68" s="25">
        <v>3.3</v>
      </c>
      <c r="F68" s="25">
        <v>5.4</v>
      </c>
      <c r="G68" s="25"/>
      <c r="H68" s="25"/>
      <c r="I68" s="25"/>
      <c r="J68" s="25"/>
      <c r="K68" s="137">
        <f t="shared" si="22"/>
        <v>8.6999999999999993</v>
      </c>
      <c r="L68" s="137"/>
      <c r="M68" s="29">
        <f t="shared" si="2"/>
        <v>1.4</v>
      </c>
      <c r="N68" s="25">
        <f t="shared" si="23"/>
        <v>3.44</v>
      </c>
      <c r="O68" s="7"/>
    </row>
    <row r="69" spans="1:15" x14ac:dyDescent="0.35">
      <c r="A69" s="21" t="s">
        <v>42</v>
      </c>
      <c r="B69" s="23">
        <v>690</v>
      </c>
      <c r="C69" s="140" t="s">
        <v>69</v>
      </c>
      <c r="D69" s="141"/>
      <c r="E69" s="25">
        <v>10</v>
      </c>
      <c r="F69" s="25">
        <v>20</v>
      </c>
      <c r="G69" s="25">
        <v>2</v>
      </c>
      <c r="H69" s="25"/>
      <c r="I69" s="25"/>
      <c r="J69" s="25"/>
      <c r="K69" s="137">
        <f t="shared" si="22"/>
        <v>32</v>
      </c>
      <c r="L69" s="137"/>
      <c r="M69" s="29">
        <f t="shared" si="2"/>
        <v>4.6399999999999997</v>
      </c>
      <c r="N69" s="25">
        <f t="shared" si="23"/>
        <v>6.62</v>
      </c>
      <c r="O69" s="7"/>
    </row>
    <row r="70" spans="1:15" x14ac:dyDescent="0.35">
      <c r="A70" s="21" t="s">
        <v>42</v>
      </c>
      <c r="B70" s="23">
        <v>690</v>
      </c>
      <c r="C70" s="140" t="s">
        <v>73</v>
      </c>
      <c r="D70" s="141"/>
      <c r="E70" s="25">
        <v>5</v>
      </c>
      <c r="F70" s="25"/>
      <c r="G70" s="25"/>
      <c r="H70" s="25"/>
      <c r="I70" s="25"/>
      <c r="J70" s="25"/>
      <c r="K70" s="137">
        <f t="shared" ref="K70:K75" si="24">IF(SUM(E70:J70)=0,"",SUM(E70:J70))</f>
        <v>5</v>
      </c>
      <c r="L70" s="137"/>
      <c r="M70" s="29">
        <f t="shared" ref="M70:M75" si="25">ROUND((K70/B70)*100,2)</f>
        <v>0.72</v>
      </c>
      <c r="N70" s="25">
        <f t="shared" ref="N70:N75" si="26">IFERROR(IF(M70&lt;0.1,0,ROUND(VLOOKUP(C70,DVtable,2,FALSE)*(LOG(M70))^6+VLOOKUP(C70,DVtable,3,FALSE)*(LOG(M70))^5+VLOOKUP(C70,DVtable,4,FALSE)*(LOG(M70))^4+VLOOKUP(C70,DVtable,5,FALSE)*(LOG(M70))^3+VLOOKUP(C70,DVtable,6,FALSE)*(LOG(M70))^2+VLOOKUP(C70,DVtable,7,FALSE)*(LOG(M70))+VLOOKUP(C70,DVtable,8,FALSE),2)),0)</f>
        <v>7.38</v>
      </c>
      <c r="O70" s="7"/>
    </row>
    <row r="71" spans="1:15" x14ac:dyDescent="0.35">
      <c r="A71" s="21" t="s">
        <v>43</v>
      </c>
      <c r="B71" s="23">
        <v>627</v>
      </c>
      <c r="C71" s="140" t="s">
        <v>95</v>
      </c>
      <c r="D71" s="141"/>
      <c r="E71" s="25">
        <v>2</v>
      </c>
      <c r="F71" s="25"/>
      <c r="G71" s="25"/>
      <c r="H71" s="25"/>
      <c r="I71" s="25"/>
      <c r="J71" s="25"/>
      <c r="K71" s="137">
        <f t="shared" ref="K71:K73" si="27">IF(SUM(E71:J71)=0,"",SUM(E71:J71))</f>
        <v>2</v>
      </c>
      <c r="L71" s="137"/>
      <c r="M71" s="29">
        <f t="shared" ref="M71:M73" si="28">ROUND((K71/B71)*100,2)</f>
        <v>0.32</v>
      </c>
      <c r="N71" s="25">
        <f t="shared" ref="N71:N73" si="29">IFERROR(IF(M71&lt;0.1,0,ROUND(VLOOKUP(C71,DVtable,2,FALSE)*(LOG(M71))^6+VLOOKUP(C71,DVtable,3,FALSE)*(LOG(M71))^5+VLOOKUP(C71,DVtable,4,FALSE)*(LOG(M71))^4+VLOOKUP(C71,DVtable,5,FALSE)*(LOG(M71))^3+VLOOKUP(C71,DVtable,6,FALSE)*(LOG(M71))^2+VLOOKUP(C71,DVtable,7,FALSE)*(LOG(M71))+VLOOKUP(C71,DVtable,8,FALSE),2)),0)</f>
        <v>5.22</v>
      </c>
      <c r="O71" s="7"/>
    </row>
    <row r="72" spans="1:15" x14ac:dyDescent="0.35">
      <c r="A72" s="21" t="s">
        <v>43</v>
      </c>
      <c r="B72" s="23">
        <v>627</v>
      </c>
      <c r="C72" s="140" t="s">
        <v>72</v>
      </c>
      <c r="D72" s="141"/>
      <c r="E72" s="25">
        <v>6</v>
      </c>
      <c r="F72" s="25">
        <v>2</v>
      </c>
      <c r="G72" s="25">
        <v>1</v>
      </c>
      <c r="H72" s="25">
        <v>3</v>
      </c>
      <c r="I72" s="25"/>
      <c r="J72" s="25"/>
      <c r="K72" s="137">
        <f t="shared" si="27"/>
        <v>12</v>
      </c>
      <c r="L72" s="137"/>
      <c r="M72" s="29">
        <f t="shared" si="28"/>
        <v>1.91</v>
      </c>
      <c r="N72" s="25">
        <f t="shared" si="29"/>
        <v>7.05</v>
      </c>
      <c r="O72" s="7"/>
    </row>
    <row r="73" spans="1:15" x14ac:dyDescent="0.35">
      <c r="A73" s="21" t="s">
        <v>43</v>
      </c>
      <c r="B73" s="23">
        <v>627</v>
      </c>
      <c r="C73" s="140" t="s">
        <v>82</v>
      </c>
      <c r="D73" s="141"/>
      <c r="E73" s="25">
        <v>2</v>
      </c>
      <c r="F73" s="25">
        <v>1.5</v>
      </c>
      <c r="G73" s="25"/>
      <c r="H73" s="25"/>
      <c r="I73" s="25"/>
      <c r="J73" s="25"/>
      <c r="K73" s="137">
        <f t="shared" si="27"/>
        <v>3.5</v>
      </c>
      <c r="L73" s="137"/>
      <c r="M73" s="29">
        <f t="shared" si="28"/>
        <v>0.56000000000000005</v>
      </c>
      <c r="N73" s="25">
        <f t="shared" si="29"/>
        <v>15.39</v>
      </c>
      <c r="O73" s="7"/>
    </row>
    <row r="74" spans="1:15" x14ac:dyDescent="0.35">
      <c r="A74" s="21" t="s">
        <v>43</v>
      </c>
      <c r="B74" s="23">
        <v>627</v>
      </c>
      <c r="C74" s="140" t="s">
        <v>73</v>
      </c>
      <c r="D74" s="141"/>
      <c r="E74" s="25">
        <v>21</v>
      </c>
      <c r="F74" s="25">
        <v>12</v>
      </c>
      <c r="G74" s="25"/>
      <c r="H74" s="25"/>
      <c r="I74" s="25"/>
      <c r="J74" s="25"/>
      <c r="K74" s="137">
        <f t="shared" si="24"/>
        <v>33</v>
      </c>
      <c r="L74" s="137"/>
      <c r="M74" s="29">
        <f t="shared" si="25"/>
        <v>5.26</v>
      </c>
      <c r="N74" s="25">
        <f t="shared" si="26"/>
        <v>15.84</v>
      </c>
      <c r="O74" s="7"/>
    </row>
    <row r="75" spans="1:15" x14ac:dyDescent="0.35">
      <c r="A75" s="21" t="s">
        <v>44</v>
      </c>
      <c r="B75" s="23">
        <v>621</v>
      </c>
      <c r="C75" s="140" t="s">
        <v>72</v>
      </c>
      <c r="D75" s="141"/>
      <c r="E75" s="25">
        <v>8</v>
      </c>
      <c r="F75" s="25">
        <v>8</v>
      </c>
      <c r="G75" s="25">
        <v>2</v>
      </c>
      <c r="H75" s="25"/>
      <c r="I75" s="25"/>
      <c r="J75" s="25"/>
      <c r="K75" s="137">
        <f t="shared" si="24"/>
        <v>18</v>
      </c>
      <c r="L75" s="137"/>
      <c r="M75" s="29">
        <f t="shared" si="25"/>
        <v>2.9</v>
      </c>
      <c r="N75" s="25">
        <f t="shared" si="26"/>
        <v>9.61</v>
      </c>
      <c r="O75" s="7"/>
    </row>
    <row r="76" spans="1:15" x14ac:dyDescent="0.35">
      <c r="A76" s="21" t="s">
        <v>44</v>
      </c>
      <c r="B76" s="23">
        <v>621</v>
      </c>
      <c r="C76" s="140" t="s">
        <v>69</v>
      </c>
      <c r="D76" s="141"/>
      <c r="E76" s="25">
        <v>25</v>
      </c>
      <c r="F76" s="25"/>
      <c r="G76" s="25"/>
      <c r="H76" s="25"/>
      <c r="I76" s="25"/>
      <c r="J76" s="25"/>
      <c r="K76" s="137">
        <f t="shared" si="22"/>
        <v>25</v>
      </c>
      <c r="L76" s="137"/>
      <c r="M76" s="29">
        <f t="shared" si="2"/>
        <v>4.03</v>
      </c>
      <c r="N76" s="25">
        <f t="shared" si="23"/>
        <v>6.13</v>
      </c>
      <c r="O76" s="7"/>
    </row>
    <row r="77" spans="1:15" x14ac:dyDescent="0.35">
      <c r="A77" s="21" t="s">
        <v>45</v>
      </c>
      <c r="B77" s="23">
        <v>690</v>
      </c>
      <c r="C77" s="140" t="s">
        <v>69</v>
      </c>
      <c r="D77" s="141"/>
      <c r="E77" s="25">
        <v>10</v>
      </c>
      <c r="F77" s="25">
        <v>4</v>
      </c>
      <c r="G77" s="25"/>
      <c r="H77" s="25"/>
      <c r="I77" s="25"/>
      <c r="J77" s="25"/>
      <c r="K77" s="137">
        <f t="shared" ref="K77:K78" si="30">IF(SUM(E77:J77)=0,"",SUM(E77:J77))</f>
        <v>14</v>
      </c>
      <c r="L77" s="137"/>
      <c r="M77" s="29">
        <f t="shared" ref="M77:M78" si="31">ROUND((K77/B77)*100,2)</f>
        <v>2.0299999999999998</v>
      </c>
      <c r="N77" s="25">
        <f t="shared" ref="N77:N78" si="32">IFERROR(IF(M77&lt;0.1,0,ROUND(VLOOKUP(C77,DVtable,2,FALSE)*(LOG(M77))^6+VLOOKUP(C77,DVtable,3,FALSE)*(LOG(M77))^5+VLOOKUP(C77,DVtable,4,FALSE)*(LOG(M77))^4+VLOOKUP(C77,DVtable,5,FALSE)*(LOG(M77))^3+VLOOKUP(C77,DVtable,6,FALSE)*(LOG(M77))^2+VLOOKUP(C77,DVtable,7,FALSE)*(LOG(M77))+VLOOKUP(C77,DVtable,8,FALSE),2)),0)</f>
        <v>4.1900000000000004</v>
      </c>
      <c r="O77" s="7"/>
    </row>
    <row r="78" spans="1:15" x14ac:dyDescent="0.35">
      <c r="A78" s="21" t="s">
        <v>45</v>
      </c>
      <c r="B78" s="23">
        <v>690</v>
      </c>
      <c r="C78" s="140" t="s">
        <v>73</v>
      </c>
      <c r="D78" s="141"/>
      <c r="E78" s="25">
        <v>6</v>
      </c>
      <c r="F78" s="25">
        <v>18</v>
      </c>
      <c r="G78" s="25">
        <v>3</v>
      </c>
      <c r="H78" s="25"/>
      <c r="I78" s="25"/>
      <c r="J78" s="25"/>
      <c r="K78" s="137">
        <f t="shared" si="30"/>
        <v>27</v>
      </c>
      <c r="L78" s="137"/>
      <c r="M78" s="29">
        <f t="shared" si="31"/>
        <v>3.91</v>
      </c>
      <c r="N78" s="25">
        <f t="shared" si="32"/>
        <v>14.14</v>
      </c>
      <c r="O78" s="7"/>
    </row>
    <row r="79" spans="1:15" x14ac:dyDescent="0.35">
      <c r="A79" s="21" t="s">
        <v>45</v>
      </c>
      <c r="B79" s="23">
        <v>690</v>
      </c>
      <c r="C79" s="140" t="s">
        <v>95</v>
      </c>
      <c r="D79" s="141"/>
      <c r="E79" s="25">
        <v>3</v>
      </c>
      <c r="F79" s="25"/>
      <c r="G79" s="25"/>
      <c r="H79" s="25"/>
      <c r="I79" s="25"/>
      <c r="J79" s="25"/>
      <c r="K79" s="137">
        <f t="shared" si="22"/>
        <v>3</v>
      </c>
      <c r="L79" s="137"/>
      <c r="M79" s="29">
        <f t="shared" si="2"/>
        <v>0.43</v>
      </c>
      <c r="N79" s="25">
        <f t="shared" si="23"/>
        <v>5.64</v>
      </c>
      <c r="O79" s="7"/>
    </row>
    <row r="80" spans="1:15" x14ac:dyDescent="0.35">
      <c r="A80" s="21" t="s">
        <v>45</v>
      </c>
      <c r="B80" s="23">
        <v>690</v>
      </c>
      <c r="C80" s="140" t="s">
        <v>72</v>
      </c>
      <c r="D80" s="141"/>
      <c r="E80" s="25">
        <v>4</v>
      </c>
      <c r="F80" s="25">
        <v>6</v>
      </c>
      <c r="G80" s="25"/>
      <c r="H80" s="25"/>
      <c r="I80" s="25"/>
      <c r="J80" s="25"/>
      <c r="K80" s="137">
        <f t="shared" ref="K80:K81" si="33">IF(SUM(E80:J80)=0,"",SUM(E80:J80))</f>
        <v>10</v>
      </c>
      <c r="L80" s="137"/>
      <c r="M80" s="29">
        <f t="shared" ref="M80:M81" si="34">ROUND((K80/B80)*100,2)</f>
        <v>1.45</v>
      </c>
      <c r="N80" s="25">
        <f t="shared" ref="N80:N81" si="35">IFERROR(IF(M80&lt;0.1,0,ROUND(VLOOKUP(C80,DVtable,2,FALSE)*(LOG(M80))^6+VLOOKUP(C80,DVtable,3,FALSE)*(LOG(M80))^5+VLOOKUP(C80,DVtable,4,FALSE)*(LOG(M80))^4+VLOOKUP(C80,DVtable,5,FALSE)*(LOG(M80))^3+VLOOKUP(C80,DVtable,6,FALSE)*(LOG(M80))^2+VLOOKUP(C80,DVtable,7,FALSE)*(LOG(M80))+VLOOKUP(C80,DVtable,8,FALSE),2)),0)</f>
        <v>5.91</v>
      </c>
      <c r="O80" s="7"/>
    </row>
    <row r="81" spans="1:15" x14ac:dyDescent="0.35">
      <c r="A81" s="21" t="s">
        <v>45</v>
      </c>
      <c r="B81" s="23">
        <v>690</v>
      </c>
      <c r="C81" s="140" t="s">
        <v>82</v>
      </c>
      <c r="D81" s="141"/>
      <c r="E81" s="25">
        <v>3</v>
      </c>
      <c r="F81" s="25"/>
      <c r="G81" s="25"/>
      <c r="H81" s="25"/>
      <c r="I81" s="25"/>
      <c r="J81" s="25"/>
      <c r="K81" s="137">
        <f t="shared" si="33"/>
        <v>3</v>
      </c>
      <c r="L81" s="137"/>
      <c r="M81" s="29">
        <f t="shared" si="34"/>
        <v>0.43</v>
      </c>
      <c r="N81" s="25">
        <f t="shared" si="35"/>
        <v>13.58</v>
      </c>
      <c r="O81" s="7"/>
    </row>
    <row r="82" spans="1:15" x14ac:dyDescent="0.35">
      <c r="A82" s="21" t="s">
        <v>45</v>
      </c>
      <c r="B82" s="23">
        <v>690</v>
      </c>
      <c r="C82" s="140">
        <v>11</v>
      </c>
      <c r="D82" s="141"/>
      <c r="E82" s="25">
        <v>10</v>
      </c>
      <c r="F82" s="25">
        <v>10</v>
      </c>
      <c r="G82" s="25">
        <v>5</v>
      </c>
      <c r="H82" s="25"/>
      <c r="I82" s="25"/>
      <c r="J82" s="25"/>
      <c r="K82" s="137">
        <f t="shared" ref="K82:K83" si="36">IF(SUM(E82:J82)=0,"",SUM(E82:J82))</f>
        <v>25</v>
      </c>
      <c r="L82" s="137"/>
      <c r="M82" s="29">
        <f t="shared" ref="M82:M83" si="37">ROUND((K82/B82)*100,2)</f>
        <v>3.62</v>
      </c>
      <c r="N82" s="25">
        <f>IFERROR(IF(M82&lt;0.1,0,ROUND(VLOOKUP(C82,DVtable,2,FALSE)*(LOG(M82))^6+VLOOKUP(C82,DVtable,3,FALSE)*(LOG(M82))^5+VLOOKUP(C82,DVtable,4,FALSE)*(LOG(M82))^4+VLOOKUP(C82,DVtable,5,FALSE)*(LOG(M82))^3+VLOOKUP(C82,DVtable,6,FALSE)*(LOG(M82))^2+VLOOKUP(C82,DVtable,7,FALSE)*(LOG(M82))+VLOOKUP(C82,DVtable,8,FALSE),2)),0)</f>
        <v>8.27</v>
      </c>
      <c r="O82" s="7"/>
    </row>
    <row r="83" spans="1:15" x14ac:dyDescent="0.35">
      <c r="A83" s="21" t="s">
        <v>45</v>
      </c>
      <c r="B83" s="23">
        <v>690</v>
      </c>
      <c r="C83" s="140" t="s">
        <v>30</v>
      </c>
      <c r="D83" s="141"/>
      <c r="E83" s="25">
        <v>4</v>
      </c>
      <c r="F83" s="25"/>
      <c r="G83" s="25"/>
      <c r="H83" s="25"/>
      <c r="I83" s="25"/>
      <c r="J83" s="25"/>
      <c r="K83" s="137">
        <f t="shared" si="36"/>
        <v>4</v>
      </c>
      <c r="L83" s="137"/>
      <c r="M83" s="29">
        <f t="shared" si="37"/>
        <v>0.57999999999999996</v>
      </c>
      <c r="N83" s="25">
        <f>IFERROR(IF(M83&lt;0.1,0,ROUND(VLOOKUP(C83,DVtable,2,FALSE)*(LOG(M83))^6+VLOOKUP(C83,DVtable,3,FALSE)*(LOG(M83))^5+VLOOKUP(C83,DVtable,4,FALSE)*(LOG(M83))^4+VLOOKUP(C83,DVtable,5,FALSE)*(LOG(M83))^3+VLOOKUP(C83,DVtable,6,FALSE)*(LOG(M83))^2+VLOOKUP(C83,DVtable,7,FALSE)*(LOG(M83))+VLOOKUP(C83,DVtable,8,FALSE),2)),0)</f>
        <v>11.9</v>
      </c>
      <c r="O83" s="7"/>
    </row>
    <row r="84" spans="1:15" x14ac:dyDescent="0.35">
      <c r="A84" s="21" t="s">
        <v>46</v>
      </c>
      <c r="B84" s="23">
        <v>627</v>
      </c>
      <c r="C84" s="140" t="s">
        <v>83</v>
      </c>
      <c r="D84" s="141"/>
      <c r="E84" s="25">
        <v>2.5</v>
      </c>
      <c r="F84" s="25"/>
      <c r="G84" s="25"/>
      <c r="H84" s="25"/>
      <c r="I84" s="25"/>
      <c r="J84" s="25"/>
      <c r="K84" s="137">
        <f t="shared" si="22"/>
        <v>2.5</v>
      </c>
      <c r="L84" s="137"/>
      <c r="M84" s="29">
        <f t="shared" si="2"/>
        <v>0.4</v>
      </c>
      <c r="N84" s="25">
        <f t="shared" si="23"/>
        <v>1.51</v>
      </c>
      <c r="O84" s="7"/>
    </row>
    <row r="85" spans="1:15" x14ac:dyDescent="0.35">
      <c r="A85" s="21" t="s">
        <v>46</v>
      </c>
      <c r="B85" s="23">
        <v>627</v>
      </c>
      <c r="C85" s="140" t="s">
        <v>72</v>
      </c>
      <c r="D85" s="141"/>
      <c r="E85" s="25">
        <v>6</v>
      </c>
      <c r="F85" s="25">
        <v>2</v>
      </c>
      <c r="G85" s="25">
        <v>3</v>
      </c>
      <c r="H85" s="25">
        <v>1</v>
      </c>
      <c r="I85" s="25">
        <v>0.6</v>
      </c>
      <c r="J85" s="25"/>
      <c r="K85" s="137">
        <f t="shared" si="22"/>
        <v>12.6</v>
      </c>
      <c r="L85" s="137"/>
      <c r="M85" s="29">
        <f t="shared" si="2"/>
        <v>2.0099999999999998</v>
      </c>
      <c r="N85" s="25">
        <f t="shared" si="23"/>
        <v>7.3</v>
      </c>
      <c r="O85" s="7"/>
    </row>
    <row r="86" spans="1:15" x14ac:dyDescent="0.35">
      <c r="A86" s="21" t="s">
        <v>46</v>
      </c>
      <c r="B86" s="23">
        <v>627</v>
      </c>
      <c r="C86" s="140" t="s">
        <v>69</v>
      </c>
      <c r="D86" s="141"/>
      <c r="E86" s="25">
        <v>25</v>
      </c>
      <c r="F86" s="25"/>
      <c r="G86" s="25"/>
      <c r="H86" s="25"/>
      <c r="I86" s="27"/>
      <c r="J86" s="27"/>
      <c r="K86" s="137">
        <f t="shared" si="22"/>
        <v>25</v>
      </c>
      <c r="L86" s="137"/>
      <c r="M86" s="29">
        <f t="shared" si="2"/>
        <v>3.99</v>
      </c>
      <c r="N86" s="25">
        <f t="shared" si="23"/>
        <v>6.09</v>
      </c>
      <c r="O86" s="7"/>
    </row>
    <row r="87" spans="1:15" x14ac:dyDescent="0.35">
      <c r="A87" s="21" t="s">
        <v>47</v>
      </c>
      <c r="B87" s="23">
        <v>621</v>
      </c>
      <c r="C87" s="140" t="s">
        <v>83</v>
      </c>
      <c r="D87" s="141"/>
      <c r="E87" s="25">
        <v>2</v>
      </c>
      <c r="F87" s="25"/>
      <c r="G87" s="25"/>
      <c r="H87" s="25"/>
      <c r="I87" s="25"/>
      <c r="J87" s="25"/>
      <c r="K87" s="137">
        <f t="shared" si="22"/>
        <v>2</v>
      </c>
      <c r="L87" s="137"/>
      <c r="M87" s="29">
        <f t="shared" si="2"/>
        <v>0.32</v>
      </c>
      <c r="N87" s="25">
        <f t="shared" si="23"/>
        <v>0.88</v>
      </c>
      <c r="O87" s="7"/>
    </row>
    <row r="88" spans="1:15" x14ac:dyDescent="0.35">
      <c r="A88" s="21" t="s">
        <v>47</v>
      </c>
      <c r="B88" s="23">
        <v>621</v>
      </c>
      <c r="C88" s="140" t="s">
        <v>72</v>
      </c>
      <c r="D88" s="141"/>
      <c r="E88" s="25">
        <v>2</v>
      </c>
      <c r="F88" s="25">
        <v>3</v>
      </c>
      <c r="G88" s="25">
        <v>8</v>
      </c>
      <c r="H88" s="25">
        <v>1</v>
      </c>
      <c r="I88" s="25"/>
      <c r="J88" s="25"/>
      <c r="K88" s="137">
        <f t="shared" si="22"/>
        <v>14</v>
      </c>
      <c r="L88" s="137"/>
      <c r="M88" s="29">
        <f t="shared" si="2"/>
        <v>2.25</v>
      </c>
      <c r="N88" s="25">
        <f t="shared" si="23"/>
        <v>7.92</v>
      </c>
      <c r="O88" s="7"/>
    </row>
    <row r="89" spans="1:15" x14ac:dyDescent="0.35">
      <c r="A89" s="21" t="s">
        <v>47</v>
      </c>
      <c r="B89" s="23">
        <v>621</v>
      </c>
      <c r="C89" s="140" t="s">
        <v>75</v>
      </c>
      <c r="D89" s="141"/>
      <c r="E89" s="25">
        <v>4</v>
      </c>
      <c r="F89" s="25"/>
      <c r="G89" s="25"/>
      <c r="H89" s="25"/>
      <c r="I89" s="25"/>
      <c r="J89" s="25"/>
      <c r="K89" s="137">
        <f t="shared" si="22"/>
        <v>4</v>
      </c>
      <c r="L89" s="137"/>
      <c r="M89" s="29">
        <f t="shared" si="2"/>
        <v>0.64</v>
      </c>
      <c r="N89" s="25">
        <f t="shared" si="23"/>
        <v>8.86</v>
      </c>
      <c r="O89" s="7"/>
    </row>
    <row r="90" spans="1:15" x14ac:dyDescent="0.35">
      <c r="A90" s="21" t="s">
        <v>47</v>
      </c>
      <c r="B90" s="23">
        <v>621</v>
      </c>
      <c r="C90" s="140" t="s">
        <v>69</v>
      </c>
      <c r="D90" s="141"/>
      <c r="E90" s="25">
        <v>20</v>
      </c>
      <c r="F90" s="25"/>
      <c r="G90" s="25"/>
      <c r="H90" s="25"/>
      <c r="I90" s="25"/>
      <c r="J90" s="25"/>
      <c r="K90" s="137">
        <f t="shared" si="22"/>
        <v>20</v>
      </c>
      <c r="L90" s="137"/>
      <c r="M90" s="29">
        <f t="shared" si="2"/>
        <v>3.22</v>
      </c>
      <c r="N90" s="25">
        <f t="shared" si="23"/>
        <v>5.41</v>
      </c>
      <c r="O90" s="7"/>
    </row>
    <row r="91" spans="1:15" x14ac:dyDescent="0.35">
      <c r="A91" s="21" t="s">
        <v>47</v>
      </c>
      <c r="B91" s="23">
        <v>621</v>
      </c>
      <c r="C91" s="140" t="s">
        <v>73</v>
      </c>
      <c r="D91" s="141"/>
      <c r="E91" s="25">
        <v>3.6</v>
      </c>
      <c r="F91" s="25">
        <v>2.4</v>
      </c>
      <c r="G91" s="25"/>
      <c r="H91" s="25"/>
      <c r="I91" s="25"/>
      <c r="J91" s="25"/>
      <c r="K91" s="137">
        <f t="shared" si="22"/>
        <v>6</v>
      </c>
      <c r="L91" s="137"/>
      <c r="M91" s="29">
        <f t="shared" si="2"/>
        <v>0.97</v>
      </c>
      <c r="N91" s="25">
        <f t="shared" si="23"/>
        <v>8.3000000000000007</v>
      </c>
      <c r="O91" s="7"/>
    </row>
    <row r="92" spans="1:15" x14ac:dyDescent="0.35">
      <c r="A92" s="21" t="s">
        <v>47</v>
      </c>
      <c r="B92" s="23">
        <v>621</v>
      </c>
      <c r="C92" s="140" t="s">
        <v>30</v>
      </c>
      <c r="D92" s="141"/>
      <c r="E92" s="25">
        <v>7</v>
      </c>
      <c r="F92" s="25"/>
      <c r="G92" s="25"/>
      <c r="H92" s="25"/>
      <c r="I92" s="25"/>
      <c r="J92" s="25"/>
      <c r="K92" s="137">
        <f t="shared" si="22"/>
        <v>7</v>
      </c>
      <c r="L92" s="137"/>
      <c r="M92" s="29">
        <f t="shared" si="2"/>
        <v>1.1299999999999999</v>
      </c>
      <c r="N92" s="25">
        <f t="shared" si="23"/>
        <v>18.28</v>
      </c>
      <c r="O92" s="7"/>
    </row>
    <row r="93" spans="1:15" x14ac:dyDescent="0.35">
      <c r="A93" s="21" t="s">
        <v>48</v>
      </c>
      <c r="B93" s="23">
        <v>690</v>
      </c>
      <c r="C93" s="140" t="s">
        <v>72</v>
      </c>
      <c r="D93" s="141"/>
      <c r="E93" s="25">
        <v>1</v>
      </c>
      <c r="F93" s="25">
        <v>3</v>
      </c>
      <c r="G93" s="25">
        <v>3.5</v>
      </c>
      <c r="H93" s="25">
        <v>4.5</v>
      </c>
      <c r="I93" s="25"/>
      <c r="J93" s="25"/>
      <c r="K93" s="137">
        <f t="shared" si="22"/>
        <v>12</v>
      </c>
      <c r="L93" s="137"/>
      <c r="M93" s="29">
        <f t="shared" si="2"/>
        <v>1.74</v>
      </c>
      <c r="N93" s="25">
        <f t="shared" si="23"/>
        <v>6.62</v>
      </c>
      <c r="O93" s="7"/>
    </row>
    <row r="94" spans="1:15" x14ac:dyDescent="0.35">
      <c r="A94" s="21" t="s">
        <v>48</v>
      </c>
      <c r="B94" s="23">
        <v>690</v>
      </c>
      <c r="C94" s="140" t="s">
        <v>75</v>
      </c>
      <c r="D94" s="141"/>
      <c r="E94" s="25">
        <v>6</v>
      </c>
      <c r="F94" s="25">
        <v>6</v>
      </c>
      <c r="G94" s="25"/>
      <c r="H94" s="25"/>
      <c r="I94" s="25"/>
      <c r="J94" s="25"/>
      <c r="K94" s="137">
        <f t="shared" si="22"/>
        <v>12</v>
      </c>
      <c r="L94" s="137"/>
      <c r="M94" s="29">
        <f t="shared" si="2"/>
        <v>1.74</v>
      </c>
      <c r="N94" s="25">
        <f t="shared" si="23"/>
        <v>14.34</v>
      </c>
      <c r="O94" s="7"/>
    </row>
    <row r="95" spans="1:15" x14ac:dyDescent="0.35">
      <c r="A95" s="21" t="s">
        <v>48</v>
      </c>
      <c r="B95" s="23">
        <v>690</v>
      </c>
      <c r="C95" s="140" t="s">
        <v>69</v>
      </c>
      <c r="D95" s="141"/>
      <c r="E95" s="25">
        <v>25</v>
      </c>
      <c r="F95" s="25"/>
      <c r="G95" s="25"/>
      <c r="H95" s="25"/>
      <c r="I95" s="25"/>
      <c r="J95" s="25"/>
      <c r="K95" s="137">
        <f t="shared" si="22"/>
        <v>25</v>
      </c>
      <c r="L95" s="137"/>
      <c r="M95" s="29">
        <f t="shared" si="2"/>
        <v>3.62</v>
      </c>
      <c r="N95" s="25">
        <f t="shared" si="23"/>
        <v>5.77</v>
      </c>
      <c r="O95" s="7"/>
    </row>
    <row r="96" spans="1:15" x14ac:dyDescent="0.35">
      <c r="A96" s="21" t="s">
        <v>48</v>
      </c>
      <c r="B96" s="23">
        <v>690</v>
      </c>
      <c r="C96" s="140" t="s">
        <v>73</v>
      </c>
      <c r="D96" s="141"/>
      <c r="E96" s="25">
        <v>2.2000000000000002</v>
      </c>
      <c r="F96" s="25">
        <v>1.2</v>
      </c>
      <c r="G96" s="25">
        <v>10</v>
      </c>
      <c r="H96" s="25"/>
      <c r="I96" s="25"/>
      <c r="J96" s="25"/>
      <c r="K96" s="137">
        <f t="shared" si="22"/>
        <v>13.4</v>
      </c>
      <c r="L96" s="137"/>
      <c r="M96" s="29">
        <f t="shared" si="2"/>
        <v>1.94</v>
      </c>
      <c r="N96" s="25">
        <f t="shared" si="23"/>
        <v>10.89</v>
      </c>
      <c r="O96" s="7"/>
    </row>
    <row r="97" spans="1:15" x14ac:dyDescent="0.35">
      <c r="A97" s="21" t="s">
        <v>48</v>
      </c>
      <c r="B97" s="23">
        <v>690</v>
      </c>
      <c r="C97" s="140" t="s">
        <v>30</v>
      </c>
      <c r="D97" s="141"/>
      <c r="E97" s="25">
        <v>2</v>
      </c>
      <c r="F97" s="25">
        <v>5</v>
      </c>
      <c r="G97" s="25"/>
      <c r="H97" s="25"/>
      <c r="I97" s="25"/>
      <c r="J97" s="25"/>
      <c r="K97" s="137">
        <f t="shared" si="22"/>
        <v>7</v>
      </c>
      <c r="L97" s="137"/>
      <c r="M97" s="29">
        <f t="shared" si="2"/>
        <v>1.01</v>
      </c>
      <c r="N97" s="25">
        <f t="shared" si="23"/>
        <v>16.96</v>
      </c>
      <c r="O97" s="7"/>
    </row>
    <row r="98" spans="1:15" x14ac:dyDescent="0.35">
      <c r="A98" s="21" t="s">
        <v>49</v>
      </c>
      <c r="B98" s="23">
        <v>627</v>
      </c>
      <c r="C98" s="140" t="s">
        <v>69</v>
      </c>
      <c r="D98" s="141"/>
      <c r="E98" s="25">
        <v>14</v>
      </c>
      <c r="F98" s="25">
        <v>6</v>
      </c>
      <c r="G98" s="25"/>
      <c r="H98" s="25"/>
      <c r="I98" s="25"/>
      <c r="J98" s="25"/>
      <c r="K98" s="137">
        <f t="shared" si="22"/>
        <v>20</v>
      </c>
      <c r="L98" s="137"/>
      <c r="M98" s="29">
        <f t="shared" si="2"/>
        <v>3.19</v>
      </c>
      <c r="N98" s="25">
        <f t="shared" si="23"/>
        <v>5.38</v>
      </c>
      <c r="O98" s="7"/>
    </row>
    <row r="99" spans="1:15" x14ac:dyDescent="0.35">
      <c r="A99" s="21" t="s">
        <v>49</v>
      </c>
      <c r="B99" s="23">
        <v>627</v>
      </c>
      <c r="C99" s="140" t="s">
        <v>72</v>
      </c>
      <c r="D99" s="141"/>
      <c r="E99" s="25">
        <v>2</v>
      </c>
      <c r="F99" s="25">
        <v>1</v>
      </c>
      <c r="G99" s="25">
        <v>1</v>
      </c>
      <c r="H99" s="25">
        <v>0.5</v>
      </c>
      <c r="I99" s="25"/>
      <c r="J99" s="25"/>
      <c r="K99" s="137">
        <f t="shared" si="22"/>
        <v>4.5</v>
      </c>
      <c r="L99" s="137"/>
      <c r="M99" s="29">
        <f t="shared" si="2"/>
        <v>0.72</v>
      </c>
      <c r="N99" s="25">
        <f t="shared" si="23"/>
        <v>4.34</v>
      </c>
      <c r="O99" s="7"/>
    </row>
    <row r="100" spans="1:15" x14ac:dyDescent="0.35">
      <c r="A100" s="21" t="s">
        <v>50</v>
      </c>
      <c r="B100" s="23">
        <v>621</v>
      </c>
      <c r="C100" s="140" t="s">
        <v>68</v>
      </c>
      <c r="D100" s="141"/>
      <c r="E100" s="25">
        <v>1</v>
      </c>
      <c r="F100" s="25"/>
      <c r="G100" s="25"/>
      <c r="H100" s="25"/>
      <c r="I100" s="25"/>
      <c r="J100" s="25"/>
      <c r="K100" s="137">
        <f t="shared" ref="K100:K127" si="38">IF(SUM(E100:J100)=0,"",SUM(E100:J100))</f>
        <v>1</v>
      </c>
      <c r="L100" s="137"/>
      <c r="M100" s="29">
        <f t="shared" si="2"/>
        <v>0.16</v>
      </c>
      <c r="N100" s="25">
        <f t="shared" ref="N100:N127" si="39">IFERROR(IF(M100&lt;0.1,0,ROUND(VLOOKUP(C100,DVtable,2,FALSE)*(LOG(M100))^6+VLOOKUP(C100,DVtable,3,FALSE)*(LOG(M100))^5+VLOOKUP(C100,DVtable,4,FALSE)*(LOG(M100))^4+VLOOKUP(C100,DVtable,5,FALSE)*(LOG(M100))^3+VLOOKUP(C100,DVtable,6,FALSE)*(LOG(M100))^2+VLOOKUP(C100,DVtable,7,FALSE)*(LOG(M100))+VLOOKUP(C100,DVtable,8,FALSE),2)),0)</f>
        <v>1.75</v>
      </c>
      <c r="O100" s="7"/>
    </row>
    <row r="101" spans="1:15" x14ac:dyDescent="0.35">
      <c r="A101" s="21" t="s">
        <v>50</v>
      </c>
      <c r="B101" s="23">
        <v>621</v>
      </c>
      <c r="C101" s="140">
        <v>11</v>
      </c>
      <c r="D101" s="141"/>
      <c r="E101" s="25">
        <v>12</v>
      </c>
      <c r="F101" s="25"/>
      <c r="G101" s="25"/>
      <c r="H101" s="25"/>
      <c r="I101" s="25"/>
      <c r="J101" s="25"/>
      <c r="K101" s="137">
        <f t="shared" si="38"/>
        <v>12</v>
      </c>
      <c r="L101" s="137"/>
      <c r="M101" s="29">
        <f t="shared" ref="M101:M160" si="40">ROUND((K101/B101)*100,2)</f>
        <v>1.93</v>
      </c>
      <c r="N101" s="25">
        <f t="shared" si="39"/>
        <v>5.01</v>
      </c>
      <c r="O101" s="7"/>
    </row>
    <row r="102" spans="1:15" x14ac:dyDescent="0.35">
      <c r="A102" s="21" t="s">
        <v>50</v>
      </c>
      <c r="B102" s="23">
        <v>621</v>
      </c>
      <c r="C102" s="140" t="s">
        <v>69</v>
      </c>
      <c r="D102" s="141"/>
      <c r="E102" s="25">
        <v>10</v>
      </c>
      <c r="F102" s="25">
        <v>20</v>
      </c>
      <c r="G102" s="25"/>
      <c r="H102" s="25"/>
      <c r="I102" s="25"/>
      <c r="J102" s="25"/>
      <c r="K102" s="137">
        <f t="shared" si="38"/>
        <v>30</v>
      </c>
      <c r="L102" s="137"/>
      <c r="M102" s="29">
        <f t="shared" si="40"/>
        <v>4.83</v>
      </c>
      <c r="N102" s="25">
        <f t="shared" si="39"/>
        <v>6.77</v>
      </c>
      <c r="O102" s="7"/>
    </row>
    <row r="103" spans="1:15" x14ac:dyDescent="0.35">
      <c r="A103" s="21" t="s">
        <v>51</v>
      </c>
      <c r="B103" s="23">
        <v>690</v>
      </c>
      <c r="C103" s="140" t="s">
        <v>68</v>
      </c>
      <c r="D103" s="141"/>
      <c r="E103" s="25">
        <v>1</v>
      </c>
      <c r="F103" s="25"/>
      <c r="G103" s="25"/>
      <c r="H103" s="25"/>
      <c r="I103" s="25"/>
      <c r="J103" s="25"/>
      <c r="K103" s="137">
        <f t="shared" si="38"/>
        <v>1</v>
      </c>
      <c r="L103" s="137"/>
      <c r="M103" s="29">
        <f t="shared" si="40"/>
        <v>0.14000000000000001</v>
      </c>
      <c r="N103" s="25">
        <f t="shared" si="39"/>
        <v>1.72</v>
      </c>
      <c r="O103" s="7"/>
    </row>
    <row r="104" spans="1:15" x14ac:dyDescent="0.35">
      <c r="A104" s="21" t="s">
        <v>51</v>
      </c>
      <c r="B104" s="23">
        <v>690</v>
      </c>
      <c r="C104" s="140">
        <v>11</v>
      </c>
      <c r="D104" s="141"/>
      <c r="E104" s="25">
        <v>8</v>
      </c>
      <c r="F104" s="25">
        <v>10</v>
      </c>
      <c r="G104" s="25">
        <v>12</v>
      </c>
      <c r="H104" s="25">
        <v>2</v>
      </c>
      <c r="I104" s="25"/>
      <c r="J104" s="25"/>
      <c r="K104" s="137">
        <f t="shared" si="38"/>
        <v>32</v>
      </c>
      <c r="L104" s="137"/>
      <c r="M104" s="29">
        <f t="shared" si="40"/>
        <v>4.6399999999999997</v>
      </c>
      <c r="N104" s="25">
        <f t="shared" si="39"/>
        <v>9.9600000000000009</v>
      </c>
      <c r="O104" s="7"/>
    </row>
    <row r="105" spans="1:15" x14ac:dyDescent="0.35">
      <c r="A105" s="21" t="s">
        <v>51</v>
      </c>
      <c r="B105" s="23">
        <v>690</v>
      </c>
      <c r="C105" s="140" t="s">
        <v>69</v>
      </c>
      <c r="D105" s="141"/>
      <c r="E105" s="25">
        <v>8</v>
      </c>
      <c r="F105" s="25">
        <v>16</v>
      </c>
      <c r="G105" s="25">
        <v>4</v>
      </c>
      <c r="H105" s="25"/>
      <c r="I105" s="25"/>
      <c r="J105" s="25"/>
      <c r="K105" s="137">
        <f t="shared" si="38"/>
        <v>28</v>
      </c>
      <c r="L105" s="137"/>
      <c r="M105" s="29">
        <f t="shared" si="40"/>
        <v>4.0599999999999996</v>
      </c>
      <c r="N105" s="25">
        <f t="shared" si="39"/>
        <v>6.15</v>
      </c>
      <c r="O105" s="7"/>
    </row>
    <row r="106" spans="1:15" x14ac:dyDescent="0.35">
      <c r="A106" s="21" t="s">
        <v>51</v>
      </c>
      <c r="B106" s="23">
        <v>690</v>
      </c>
      <c r="C106" s="140" t="s">
        <v>73</v>
      </c>
      <c r="D106" s="141"/>
      <c r="E106" s="25">
        <v>14</v>
      </c>
      <c r="F106" s="25">
        <v>6</v>
      </c>
      <c r="G106" s="25"/>
      <c r="H106" s="25"/>
      <c r="I106" s="25"/>
      <c r="J106" s="25"/>
      <c r="K106" s="137">
        <f t="shared" si="38"/>
        <v>20</v>
      </c>
      <c r="L106" s="137"/>
      <c r="M106" s="29">
        <f t="shared" si="40"/>
        <v>2.9</v>
      </c>
      <c r="N106" s="25">
        <f t="shared" si="39"/>
        <v>12.65</v>
      </c>
      <c r="O106" s="7"/>
    </row>
    <row r="107" spans="1:15" x14ac:dyDescent="0.35">
      <c r="A107" s="21" t="s">
        <v>51</v>
      </c>
      <c r="B107" s="23">
        <v>690</v>
      </c>
      <c r="C107" s="140" t="s">
        <v>75</v>
      </c>
      <c r="D107" s="141"/>
      <c r="E107" s="25">
        <v>2</v>
      </c>
      <c r="F107" s="25">
        <v>3</v>
      </c>
      <c r="G107" s="25">
        <v>2</v>
      </c>
      <c r="H107" s="25">
        <v>1</v>
      </c>
      <c r="I107" s="25"/>
      <c r="J107" s="25"/>
      <c r="K107" s="137">
        <f t="shared" si="38"/>
        <v>8</v>
      </c>
      <c r="L107" s="137"/>
      <c r="M107" s="29">
        <f t="shared" si="40"/>
        <v>1.1599999999999999</v>
      </c>
      <c r="N107" s="25">
        <f t="shared" si="39"/>
        <v>11.76</v>
      </c>
      <c r="O107" s="7"/>
    </row>
    <row r="108" spans="1:15" x14ac:dyDescent="0.35">
      <c r="A108" s="21" t="s">
        <v>52</v>
      </c>
      <c r="B108" s="23">
        <v>627</v>
      </c>
      <c r="C108" s="140">
        <v>11</v>
      </c>
      <c r="D108" s="141"/>
      <c r="E108" s="25">
        <v>10</v>
      </c>
      <c r="F108" s="25">
        <v>2</v>
      </c>
      <c r="G108" s="25">
        <v>1.5</v>
      </c>
      <c r="H108" s="25">
        <v>0.8</v>
      </c>
      <c r="I108" s="25">
        <v>1</v>
      </c>
      <c r="J108" s="25"/>
      <c r="K108" s="137">
        <f t="shared" ref="K108" si="41">IF(SUM(E108:J108)=0,"",SUM(E108:J108))</f>
        <v>15.3</v>
      </c>
      <c r="L108" s="137"/>
      <c r="M108" s="29">
        <f t="shared" ref="M108" si="42">ROUND((K108/B108)*100,2)</f>
        <v>2.44</v>
      </c>
      <c r="N108" s="25">
        <f t="shared" ref="N108" si="43">IFERROR(IF(M108&lt;0.1,0,ROUND(VLOOKUP(C108,DVtable,2,FALSE)*(LOG(M108))^6+VLOOKUP(C108,DVtable,3,FALSE)*(LOG(M108))^5+VLOOKUP(C108,DVtable,4,FALSE)*(LOG(M108))^4+VLOOKUP(C108,DVtable,5,FALSE)*(LOG(M108))^3+VLOOKUP(C108,DVtable,6,FALSE)*(LOG(M108))^2+VLOOKUP(C108,DVtable,7,FALSE)*(LOG(M108))+VLOOKUP(C108,DVtable,8,FALSE),2)),0)</f>
        <v>6.06</v>
      </c>
      <c r="O108" s="7"/>
    </row>
    <row r="109" spans="1:15" x14ac:dyDescent="0.35">
      <c r="A109" s="21" t="s">
        <v>52</v>
      </c>
      <c r="B109" s="23">
        <v>627</v>
      </c>
      <c r="C109" s="140" t="s">
        <v>72</v>
      </c>
      <c r="D109" s="141"/>
      <c r="E109" s="25">
        <v>1</v>
      </c>
      <c r="F109" s="25">
        <v>3</v>
      </c>
      <c r="G109" s="25">
        <v>4</v>
      </c>
      <c r="H109" s="25"/>
      <c r="I109" s="25"/>
      <c r="J109" s="25"/>
      <c r="K109" s="137">
        <f t="shared" si="38"/>
        <v>8</v>
      </c>
      <c r="L109" s="137"/>
      <c r="M109" s="29">
        <f t="shared" si="40"/>
        <v>1.28</v>
      </c>
      <c r="N109" s="25">
        <f t="shared" si="39"/>
        <v>5.52</v>
      </c>
      <c r="O109" s="7"/>
    </row>
    <row r="110" spans="1:15" x14ac:dyDescent="0.35">
      <c r="A110" s="21" t="s">
        <v>52</v>
      </c>
      <c r="B110" s="23">
        <v>627</v>
      </c>
      <c r="C110" s="140" t="s">
        <v>69</v>
      </c>
      <c r="D110" s="141"/>
      <c r="E110" s="25">
        <v>10</v>
      </c>
      <c r="F110" s="25">
        <v>2</v>
      </c>
      <c r="G110" s="25"/>
      <c r="H110" s="25"/>
      <c r="I110" s="25"/>
      <c r="J110" s="25"/>
      <c r="K110" s="137">
        <f t="shared" si="38"/>
        <v>12</v>
      </c>
      <c r="L110" s="137"/>
      <c r="M110" s="29">
        <f t="shared" si="40"/>
        <v>1.91</v>
      </c>
      <c r="N110" s="25">
        <f t="shared" si="39"/>
        <v>4.0599999999999996</v>
      </c>
      <c r="O110" s="7"/>
    </row>
    <row r="111" spans="1:15" x14ac:dyDescent="0.35">
      <c r="A111" s="21" t="s">
        <v>52</v>
      </c>
      <c r="B111" s="23">
        <v>627</v>
      </c>
      <c r="C111" s="140" t="s">
        <v>73</v>
      </c>
      <c r="D111" s="141"/>
      <c r="E111" s="25">
        <v>5</v>
      </c>
      <c r="F111" s="25">
        <v>2</v>
      </c>
      <c r="G111" s="25">
        <v>1</v>
      </c>
      <c r="H111" s="25"/>
      <c r="I111" s="25"/>
      <c r="J111" s="25"/>
      <c r="K111" s="137">
        <f t="shared" ref="K111" si="44">IF(SUM(E111:J111)=0,"",SUM(E111:J111))</f>
        <v>8</v>
      </c>
      <c r="L111" s="137"/>
      <c r="M111" s="29">
        <f t="shared" ref="M111" si="45">ROUND((K111/B111)*100,2)</f>
        <v>1.28</v>
      </c>
      <c r="N111" s="25">
        <f t="shared" ref="N111" si="46">IFERROR(IF(M111&lt;0.1,0,ROUND(VLOOKUP(C111,DVtable,2,FALSE)*(LOG(M111))^6+VLOOKUP(C111,DVtable,3,FALSE)*(LOG(M111))^5+VLOOKUP(C111,DVtable,4,FALSE)*(LOG(M111))^4+VLOOKUP(C111,DVtable,5,FALSE)*(LOG(M111))^3+VLOOKUP(C111,DVtable,6,FALSE)*(LOG(M111))^2+VLOOKUP(C111,DVtable,7,FALSE)*(LOG(M111))+VLOOKUP(C111,DVtable,8,FALSE),2)),0)</f>
        <v>9.27</v>
      </c>
      <c r="O111" s="7"/>
    </row>
    <row r="112" spans="1:15" x14ac:dyDescent="0.35">
      <c r="A112" s="21" t="s">
        <v>53</v>
      </c>
      <c r="B112" s="23">
        <v>621</v>
      </c>
      <c r="C112" s="140" t="s">
        <v>72</v>
      </c>
      <c r="D112" s="141"/>
      <c r="E112" s="25">
        <v>3</v>
      </c>
      <c r="F112" s="25">
        <v>3</v>
      </c>
      <c r="G112" s="25">
        <v>1</v>
      </c>
      <c r="H112" s="25">
        <v>0.5</v>
      </c>
      <c r="I112" s="25"/>
      <c r="J112" s="25"/>
      <c r="K112" s="137">
        <f t="shared" si="38"/>
        <v>7.5</v>
      </c>
      <c r="L112" s="137"/>
      <c r="M112" s="29">
        <f t="shared" si="40"/>
        <v>1.21</v>
      </c>
      <c r="N112" s="25">
        <f t="shared" si="39"/>
        <v>5.36</v>
      </c>
      <c r="O112" s="7"/>
    </row>
    <row r="113" spans="1:15" x14ac:dyDescent="0.35">
      <c r="A113" s="21" t="s">
        <v>53</v>
      </c>
      <c r="B113" s="23">
        <v>621</v>
      </c>
      <c r="C113" s="140" t="s">
        <v>69</v>
      </c>
      <c r="D113" s="141"/>
      <c r="E113" s="25">
        <v>25</v>
      </c>
      <c r="F113" s="25"/>
      <c r="G113" s="25"/>
      <c r="H113" s="25"/>
      <c r="I113" s="25"/>
      <c r="J113" s="25"/>
      <c r="K113" s="137">
        <f t="shared" si="38"/>
        <v>25</v>
      </c>
      <c r="L113" s="137"/>
      <c r="M113" s="29">
        <f t="shared" si="40"/>
        <v>4.03</v>
      </c>
      <c r="N113" s="25">
        <f t="shared" si="39"/>
        <v>6.13</v>
      </c>
      <c r="O113" s="7"/>
    </row>
    <row r="114" spans="1:15" x14ac:dyDescent="0.35">
      <c r="A114" s="21" t="s">
        <v>53</v>
      </c>
      <c r="B114" s="23">
        <v>621</v>
      </c>
      <c r="C114" s="140" t="s">
        <v>73</v>
      </c>
      <c r="D114" s="141"/>
      <c r="E114" s="25">
        <v>1.2</v>
      </c>
      <c r="F114" s="25">
        <v>2.4</v>
      </c>
      <c r="G114" s="25">
        <v>4.2</v>
      </c>
      <c r="H114" s="25"/>
      <c r="I114" s="25"/>
      <c r="J114" s="25"/>
      <c r="K114" s="137">
        <f t="shared" si="38"/>
        <v>7.8</v>
      </c>
      <c r="L114" s="137"/>
      <c r="M114" s="29">
        <f t="shared" si="40"/>
        <v>1.26</v>
      </c>
      <c r="N114" s="25">
        <f t="shared" si="39"/>
        <v>9.2100000000000009</v>
      </c>
      <c r="O114" s="7"/>
    </row>
    <row r="115" spans="1:15" x14ac:dyDescent="0.35">
      <c r="A115" s="21" t="s">
        <v>53</v>
      </c>
      <c r="B115" s="23">
        <v>621</v>
      </c>
      <c r="C115" s="140">
        <v>11</v>
      </c>
      <c r="D115" s="141"/>
      <c r="E115" s="25">
        <v>4</v>
      </c>
      <c r="F115" s="25">
        <v>5.8</v>
      </c>
      <c r="G115" s="25">
        <v>2.8</v>
      </c>
      <c r="H115" s="25"/>
      <c r="I115" s="25"/>
      <c r="J115" s="25"/>
      <c r="K115" s="137">
        <f t="shared" si="38"/>
        <v>12.600000000000001</v>
      </c>
      <c r="L115" s="137"/>
      <c r="M115" s="29">
        <f t="shared" si="40"/>
        <v>2.0299999999999998</v>
      </c>
      <c r="N115" s="25">
        <f t="shared" si="39"/>
        <v>5.22</v>
      </c>
      <c r="O115" s="7"/>
    </row>
    <row r="116" spans="1:15" x14ac:dyDescent="0.35">
      <c r="A116" s="21" t="s">
        <v>54</v>
      </c>
      <c r="B116" s="23">
        <v>690</v>
      </c>
      <c r="C116" s="140" t="s">
        <v>75</v>
      </c>
      <c r="D116" s="141"/>
      <c r="E116" s="25">
        <v>6</v>
      </c>
      <c r="F116" s="25"/>
      <c r="G116" s="25"/>
      <c r="H116" s="25"/>
      <c r="I116" s="25"/>
      <c r="J116" s="25"/>
      <c r="K116" s="137">
        <f t="shared" si="38"/>
        <v>6</v>
      </c>
      <c r="L116" s="137"/>
      <c r="M116" s="29">
        <f t="shared" si="40"/>
        <v>0.87</v>
      </c>
      <c r="N116" s="25">
        <f t="shared" si="39"/>
        <v>10.27</v>
      </c>
      <c r="O116" s="7"/>
    </row>
    <row r="117" spans="1:15" x14ac:dyDescent="0.35">
      <c r="A117" s="21" t="s">
        <v>54</v>
      </c>
      <c r="B117" s="23">
        <v>690</v>
      </c>
      <c r="C117" s="140">
        <v>11</v>
      </c>
      <c r="D117" s="141"/>
      <c r="E117" s="25">
        <v>20</v>
      </c>
      <c r="F117" s="25">
        <v>2</v>
      </c>
      <c r="G117" s="25"/>
      <c r="H117" s="25"/>
      <c r="I117" s="25"/>
      <c r="J117" s="25"/>
      <c r="K117" s="137">
        <f t="shared" si="38"/>
        <v>22</v>
      </c>
      <c r="L117" s="137"/>
      <c r="M117" s="29">
        <f t="shared" si="40"/>
        <v>3.19</v>
      </c>
      <c r="N117" s="25">
        <f t="shared" si="39"/>
        <v>7.49</v>
      </c>
      <c r="O117" s="7"/>
    </row>
    <row r="118" spans="1:15" x14ac:dyDescent="0.35">
      <c r="A118" s="21" t="s">
        <v>54</v>
      </c>
      <c r="B118" s="23">
        <v>690</v>
      </c>
      <c r="C118" s="140" t="s">
        <v>69</v>
      </c>
      <c r="D118" s="141"/>
      <c r="E118" s="25">
        <v>12</v>
      </c>
      <c r="F118" s="25">
        <v>8.4</v>
      </c>
      <c r="G118" s="25"/>
      <c r="H118" s="25"/>
      <c r="I118" s="25"/>
      <c r="J118" s="25"/>
      <c r="K118" s="137">
        <f t="shared" si="38"/>
        <v>20.399999999999999</v>
      </c>
      <c r="L118" s="137"/>
      <c r="M118" s="29">
        <f t="shared" si="40"/>
        <v>2.96</v>
      </c>
      <c r="N118" s="25">
        <f t="shared" si="39"/>
        <v>5.16</v>
      </c>
      <c r="O118" s="7"/>
    </row>
    <row r="119" spans="1:15" x14ac:dyDescent="0.35">
      <c r="A119" s="21" t="s">
        <v>54</v>
      </c>
      <c r="B119" s="23">
        <v>690</v>
      </c>
      <c r="C119" s="140" t="s">
        <v>73</v>
      </c>
      <c r="D119" s="141"/>
      <c r="E119" s="25">
        <v>5</v>
      </c>
      <c r="F119" s="25">
        <v>6</v>
      </c>
      <c r="G119" s="25">
        <v>1</v>
      </c>
      <c r="H119" s="25"/>
      <c r="I119" s="25"/>
      <c r="J119" s="25"/>
      <c r="K119" s="137">
        <f t="shared" si="38"/>
        <v>12</v>
      </c>
      <c r="L119" s="137"/>
      <c r="M119" s="29">
        <f t="shared" si="40"/>
        <v>1.74</v>
      </c>
      <c r="N119" s="25">
        <f t="shared" si="39"/>
        <v>10.45</v>
      </c>
      <c r="O119" s="7"/>
    </row>
    <row r="120" spans="1:15" x14ac:dyDescent="0.35">
      <c r="A120" s="21" t="s">
        <v>54</v>
      </c>
      <c r="B120" s="23">
        <v>690</v>
      </c>
      <c r="C120" s="140" t="s">
        <v>30</v>
      </c>
      <c r="D120" s="141"/>
      <c r="E120" s="25">
        <v>2</v>
      </c>
      <c r="F120" s="25"/>
      <c r="G120" s="25"/>
      <c r="H120" s="25"/>
      <c r="I120" s="25"/>
      <c r="J120" s="25"/>
      <c r="K120" s="137">
        <f t="shared" si="38"/>
        <v>2</v>
      </c>
      <c r="L120" s="137"/>
      <c r="M120" s="29">
        <f t="shared" si="40"/>
        <v>0.28999999999999998</v>
      </c>
      <c r="N120" s="25">
        <f t="shared" si="39"/>
        <v>8.86</v>
      </c>
      <c r="O120" s="7"/>
    </row>
    <row r="121" spans="1:15" x14ac:dyDescent="0.35">
      <c r="A121" s="21" t="s">
        <v>55</v>
      </c>
      <c r="B121" s="23">
        <v>627</v>
      </c>
      <c r="C121" s="140" t="s">
        <v>72</v>
      </c>
      <c r="D121" s="141"/>
      <c r="E121" s="25">
        <v>2</v>
      </c>
      <c r="F121" s="25">
        <v>2</v>
      </c>
      <c r="G121" s="25">
        <v>1</v>
      </c>
      <c r="H121" s="25">
        <v>0.8</v>
      </c>
      <c r="I121" s="25">
        <v>0.8</v>
      </c>
      <c r="J121" s="25"/>
      <c r="K121" s="137">
        <f t="shared" si="38"/>
        <v>6.6</v>
      </c>
      <c r="L121" s="137"/>
      <c r="M121" s="29">
        <f t="shared" si="40"/>
        <v>1.05</v>
      </c>
      <c r="N121" s="25">
        <f t="shared" si="39"/>
        <v>5.01</v>
      </c>
      <c r="O121" s="7"/>
    </row>
    <row r="122" spans="1:15" x14ac:dyDescent="0.35">
      <c r="A122" s="21" t="s">
        <v>55</v>
      </c>
      <c r="B122" s="23">
        <v>627</v>
      </c>
      <c r="C122" s="140" t="s">
        <v>69</v>
      </c>
      <c r="D122" s="141"/>
      <c r="E122" s="25">
        <v>14</v>
      </c>
      <c r="F122" s="25">
        <v>14</v>
      </c>
      <c r="G122" s="25"/>
      <c r="H122" s="25"/>
      <c r="I122" s="25"/>
      <c r="J122" s="25"/>
      <c r="K122" s="137">
        <f t="shared" si="38"/>
        <v>28</v>
      </c>
      <c r="L122" s="137"/>
      <c r="M122" s="29">
        <f t="shared" si="40"/>
        <v>4.47</v>
      </c>
      <c r="N122" s="25">
        <f t="shared" si="39"/>
        <v>6.49</v>
      </c>
      <c r="O122" s="7"/>
    </row>
    <row r="123" spans="1:15" x14ac:dyDescent="0.35">
      <c r="A123" s="21" t="s">
        <v>55</v>
      </c>
      <c r="B123" s="23">
        <v>627</v>
      </c>
      <c r="C123" s="140">
        <v>11</v>
      </c>
      <c r="D123" s="141"/>
      <c r="E123" s="25">
        <v>15</v>
      </c>
      <c r="F123" s="25">
        <v>5</v>
      </c>
      <c r="G123" s="25">
        <v>2</v>
      </c>
      <c r="H123" s="25"/>
      <c r="I123" s="25"/>
      <c r="J123" s="25"/>
      <c r="K123" s="137">
        <f t="shared" ref="K123" si="47">IF(SUM(E123:J123)=0,"",SUM(E123:J123))</f>
        <v>22</v>
      </c>
      <c r="L123" s="137"/>
      <c r="M123" s="29">
        <f t="shared" ref="M123" si="48">ROUND((K123/B123)*100,2)</f>
        <v>3.51</v>
      </c>
      <c r="N123" s="25">
        <f t="shared" ref="N123" si="49">IFERROR(IF(M123&lt;0.1,0,ROUND(VLOOKUP(C123,DVtable,2,FALSE)*(LOG(M123))^6+VLOOKUP(C123,DVtable,3,FALSE)*(LOG(M123))^5+VLOOKUP(C123,DVtable,4,FALSE)*(LOG(M123))^4+VLOOKUP(C123,DVtable,5,FALSE)*(LOG(M123))^3+VLOOKUP(C123,DVtable,6,FALSE)*(LOG(M123))^2+VLOOKUP(C123,DVtable,7,FALSE)*(LOG(M123))+VLOOKUP(C123,DVtable,8,FALSE),2)),0)</f>
        <v>8.07</v>
      </c>
      <c r="O123" s="7"/>
    </row>
    <row r="124" spans="1:15" x14ac:dyDescent="0.35">
      <c r="A124" s="21" t="s">
        <v>56</v>
      </c>
      <c r="B124" s="23">
        <v>621</v>
      </c>
      <c r="C124" s="140" t="s">
        <v>75</v>
      </c>
      <c r="D124" s="141"/>
      <c r="E124" s="25">
        <v>1</v>
      </c>
      <c r="F124" s="25">
        <v>2</v>
      </c>
      <c r="G124" s="25">
        <v>8</v>
      </c>
      <c r="H124" s="25"/>
      <c r="I124" s="25"/>
      <c r="J124" s="25"/>
      <c r="K124" s="137">
        <f t="shared" si="38"/>
        <v>11</v>
      </c>
      <c r="L124" s="137"/>
      <c r="M124" s="29">
        <f t="shared" si="40"/>
        <v>1.77</v>
      </c>
      <c r="N124" s="25">
        <f t="shared" si="39"/>
        <v>14.46</v>
      </c>
      <c r="O124" s="7"/>
    </row>
    <row r="125" spans="1:15" x14ac:dyDescent="0.35">
      <c r="A125" s="21" t="s">
        <v>56</v>
      </c>
      <c r="B125" s="23">
        <v>621</v>
      </c>
      <c r="C125" s="140" t="s">
        <v>73</v>
      </c>
      <c r="D125" s="141"/>
      <c r="E125" s="25">
        <v>16</v>
      </c>
      <c r="F125" s="25">
        <v>3</v>
      </c>
      <c r="G125" s="25">
        <v>3</v>
      </c>
      <c r="H125" s="25"/>
      <c r="I125" s="25"/>
      <c r="J125" s="25"/>
      <c r="K125" s="137">
        <f t="shared" si="38"/>
        <v>22</v>
      </c>
      <c r="L125" s="137"/>
      <c r="M125" s="29">
        <f t="shared" si="40"/>
        <v>3.54</v>
      </c>
      <c r="N125" s="25">
        <f t="shared" si="39"/>
        <v>13.63</v>
      </c>
      <c r="O125" s="7"/>
    </row>
    <row r="126" spans="1:15" x14ac:dyDescent="0.35">
      <c r="A126" s="21" t="s">
        <v>56</v>
      </c>
      <c r="B126" s="23">
        <v>621</v>
      </c>
      <c r="C126" s="140">
        <v>11</v>
      </c>
      <c r="D126" s="141"/>
      <c r="E126" s="25">
        <v>9</v>
      </c>
      <c r="F126" s="25">
        <v>8</v>
      </c>
      <c r="G126" s="25"/>
      <c r="H126" s="25"/>
      <c r="I126" s="25"/>
      <c r="J126" s="25"/>
      <c r="K126" s="137">
        <f t="shared" si="38"/>
        <v>17</v>
      </c>
      <c r="L126" s="137"/>
      <c r="M126" s="29">
        <f t="shared" si="40"/>
        <v>2.74</v>
      </c>
      <c r="N126" s="25">
        <f t="shared" si="39"/>
        <v>6.65</v>
      </c>
      <c r="O126" s="7"/>
    </row>
    <row r="127" spans="1:15" x14ac:dyDescent="0.35">
      <c r="A127" s="21" t="s">
        <v>57</v>
      </c>
      <c r="B127" s="23">
        <v>690</v>
      </c>
      <c r="C127" s="140" t="s">
        <v>69</v>
      </c>
      <c r="D127" s="141"/>
      <c r="E127" s="25">
        <v>10</v>
      </c>
      <c r="F127" s="25">
        <v>2</v>
      </c>
      <c r="G127" s="25">
        <v>2</v>
      </c>
      <c r="H127" s="25">
        <v>5</v>
      </c>
      <c r="I127" s="25"/>
      <c r="J127" s="25"/>
      <c r="K127" s="137">
        <f t="shared" si="38"/>
        <v>19</v>
      </c>
      <c r="L127" s="137"/>
      <c r="M127" s="29">
        <f t="shared" si="40"/>
        <v>2.75</v>
      </c>
      <c r="N127" s="25">
        <f t="shared" si="39"/>
        <v>4.95</v>
      </c>
      <c r="O127" s="7"/>
    </row>
    <row r="128" spans="1:15" x14ac:dyDescent="0.35">
      <c r="A128" s="21" t="s">
        <v>57</v>
      </c>
      <c r="B128" s="23">
        <v>690</v>
      </c>
      <c r="C128" s="140">
        <v>11</v>
      </c>
      <c r="D128" s="141"/>
      <c r="E128" s="25">
        <v>9</v>
      </c>
      <c r="F128" s="25">
        <v>3</v>
      </c>
      <c r="G128" s="25"/>
      <c r="H128" s="25"/>
      <c r="I128" s="25"/>
      <c r="J128" s="25"/>
      <c r="K128" s="137">
        <f t="shared" ref="K128:K160" si="50">IF(SUM(E128:J128)=0,"",SUM(E128:J128))</f>
        <v>12</v>
      </c>
      <c r="L128" s="137"/>
      <c r="M128" s="29">
        <f t="shared" si="40"/>
        <v>1.74</v>
      </c>
      <c r="N128" s="25">
        <f t="shared" ref="N128:N160" si="51">IFERROR(IF(M128&lt;0.1,0,ROUND(VLOOKUP(C128,DVtable,2,FALSE)*(LOG(M128))^6+VLOOKUP(C128,DVtable,3,FALSE)*(LOG(M128))^5+VLOOKUP(C128,DVtable,4,FALSE)*(LOG(M128))^4+VLOOKUP(C128,DVtable,5,FALSE)*(LOG(M128))^3+VLOOKUP(C128,DVtable,6,FALSE)*(LOG(M128))^2+VLOOKUP(C128,DVtable,7,FALSE)*(LOG(M128))+VLOOKUP(C128,DVtable,8,FALSE),2)),0)</f>
        <v>4.6100000000000003</v>
      </c>
      <c r="O128" s="7"/>
    </row>
    <row r="129" spans="1:15" x14ac:dyDescent="0.35">
      <c r="A129" s="21" t="s">
        <v>58</v>
      </c>
      <c r="B129" s="23">
        <v>627</v>
      </c>
      <c r="C129" s="140" t="s">
        <v>72</v>
      </c>
      <c r="D129" s="141"/>
      <c r="E129" s="25">
        <v>3.4</v>
      </c>
      <c r="F129" s="25">
        <v>4.4000000000000004</v>
      </c>
      <c r="G129" s="25">
        <v>5.6</v>
      </c>
      <c r="H129" s="25"/>
      <c r="I129" s="25"/>
      <c r="J129" s="25"/>
      <c r="K129" s="137">
        <f t="shared" si="50"/>
        <v>13.4</v>
      </c>
      <c r="L129" s="137"/>
      <c r="M129" s="29">
        <f t="shared" si="40"/>
        <v>2.14</v>
      </c>
      <c r="N129" s="25">
        <f t="shared" si="51"/>
        <v>7.64</v>
      </c>
      <c r="O129" s="7"/>
    </row>
    <row r="130" spans="1:15" x14ac:dyDescent="0.35">
      <c r="A130" s="21" t="s">
        <v>58</v>
      </c>
      <c r="B130" s="23">
        <v>627</v>
      </c>
      <c r="C130" s="140" t="s">
        <v>73</v>
      </c>
      <c r="D130" s="141"/>
      <c r="E130" s="25">
        <v>21</v>
      </c>
      <c r="F130" s="25">
        <v>7</v>
      </c>
      <c r="G130" s="25">
        <v>7</v>
      </c>
      <c r="H130" s="25"/>
      <c r="I130" s="25"/>
      <c r="J130" s="25"/>
      <c r="K130" s="137">
        <f t="shared" si="50"/>
        <v>35</v>
      </c>
      <c r="L130" s="137"/>
      <c r="M130" s="29">
        <f t="shared" si="40"/>
        <v>5.58</v>
      </c>
      <c r="N130" s="25">
        <f t="shared" si="51"/>
        <v>16.2</v>
      </c>
      <c r="O130" s="7"/>
    </row>
    <row r="131" spans="1:15" x14ac:dyDescent="0.35">
      <c r="A131" s="21" t="s">
        <v>58</v>
      </c>
      <c r="B131" s="23">
        <v>627</v>
      </c>
      <c r="C131" s="140">
        <v>11</v>
      </c>
      <c r="D131" s="141"/>
      <c r="E131" s="25">
        <v>9</v>
      </c>
      <c r="F131" s="25">
        <v>3</v>
      </c>
      <c r="G131" s="25">
        <v>10</v>
      </c>
      <c r="H131" s="25"/>
      <c r="I131" s="25"/>
      <c r="J131" s="25"/>
      <c r="K131" s="137">
        <f t="shared" si="50"/>
        <v>22</v>
      </c>
      <c r="L131" s="137"/>
      <c r="M131" s="29">
        <f t="shared" si="40"/>
        <v>3.51</v>
      </c>
      <c r="N131" s="25">
        <f t="shared" si="51"/>
        <v>8.07</v>
      </c>
      <c r="O131" s="7"/>
    </row>
    <row r="132" spans="1:15" x14ac:dyDescent="0.35">
      <c r="A132" s="21" t="s">
        <v>59</v>
      </c>
      <c r="B132" s="23">
        <v>621</v>
      </c>
      <c r="C132" s="140" t="s">
        <v>72</v>
      </c>
      <c r="D132" s="141"/>
      <c r="E132" s="25">
        <v>6</v>
      </c>
      <c r="F132" s="25">
        <v>3</v>
      </c>
      <c r="G132" s="25">
        <v>4</v>
      </c>
      <c r="H132" s="25"/>
      <c r="I132" s="25"/>
      <c r="J132" s="25"/>
      <c r="K132" s="137">
        <f t="shared" si="50"/>
        <v>13</v>
      </c>
      <c r="L132" s="137"/>
      <c r="M132" s="29">
        <f t="shared" si="40"/>
        <v>2.09</v>
      </c>
      <c r="N132" s="25">
        <f t="shared" si="51"/>
        <v>7.51</v>
      </c>
      <c r="O132" s="7"/>
    </row>
    <row r="133" spans="1:15" x14ac:dyDescent="0.35">
      <c r="A133" s="21" t="s">
        <v>59</v>
      </c>
      <c r="B133" s="23">
        <v>621</v>
      </c>
      <c r="C133" s="140" t="s">
        <v>75</v>
      </c>
      <c r="D133" s="141"/>
      <c r="E133" s="25">
        <v>3</v>
      </c>
      <c r="F133" s="25">
        <v>2</v>
      </c>
      <c r="G133" s="25">
        <v>1</v>
      </c>
      <c r="H133" s="25">
        <v>1</v>
      </c>
      <c r="I133" s="25">
        <v>0.5</v>
      </c>
      <c r="J133" s="25"/>
      <c r="K133" s="137">
        <f t="shared" ref="K133" si="52">IF(SUM(E133:J133)=0,"",SUM(E133:J133))</f>
        <v>7.5</v>
      </c>
      <c r="L133" s="137"/>
      <c r="M133" s="29">
        <f t="shared" ref="M133" si="53">ROUND((K133/B133)*100,2)</f>
        <v>1.21</v>
      </c>
      <c r="N133" s="25">
        <f t="shared" ref="N133" si="54">IFERROR(IF(M133&lt;0.1,0,ROUND(VLOOKUP(C133,DVtable,2,FALSE)*(LOG(M133))^6+VLOOKUP(C133,DVtable,3,FALSE)*(LOG(M133))^5+VLOOKUP(C133,DVtable,4,FALSE)*(LOG(M133))^4+VLOOKUP(C133,DVtable,5,FALSE)*(LOG(M133))^3+VLOOKUP(C133,DVtable,6,FALSE)*(LOG(M133))^2+VLOOKUP(C133,DVtable,7,FALSE)*(LOG(M133))+VLOOKUP(C133,DVtable,8,FALSE),2)),0)</f>
        <v>12</v>
      </c>
      <c r="O133" s="7"/>
    </row>
    <row r="134" spans="1:15" x14ac:dyDescent="0.35">
      <c r="A134" s="21" t="s">
        <v>59</v>
      </c>
      <c r="B134" s="23">
        <v>621</v>
      </c>
      <c r="C134" s="140">
        <v>11</v>
      </c>
      <c r="D134" s="141"/>
      <c r="E134" s="25">
        <v>10</v>
      </c>
      <c r="F134" s="25">
        <v>8</v>
      </c>
      <c r="G134" s="25">
        <v>15</v>
      </c>
      <c r="H134" s="25"/>
      <c r="I134" s="25"/>
      <c r="J134" s="25"/>
      <c r="K134" s="137">
        <f t="shared" si="50"/>
        <v>33</v>
      </c>
      <c r="L134" s="137"/>
      <c r="M134" s="29">
        <f t="shared" si="40"/>
        <v>5.31</v>
      </c>
      <c r="N134" s="25">
        <f t="shared" si="51"/>
        <v>10.98</v>
      </c>
      <c r="O134" s="7"/>
    </row>
    <row r="135" spans="1:15" x14ac:dyDescent="0.35">
      <c r="A135" s="21" t="s">
        <v>59</v>
      </c>
      <c r="B135" s="23">
        <v>621</v>
      </c>
      <c r="C135" s="140" t="s">
        <v>69</v>
      </c>
      <c r="D135" s="141"/>
      <c r="E135" s="25">
        <v>14</v>
      </c>
      <c r="F135" s="25">
        <v>3</v>
      </c>
      <c r="G135" s="25">
        <v>2</v>
      </c>
      <c r="H135" s="25">
        <v>2</v>
      </c>
      <c r="I135" s="25"/>
      <c r="J135" s="25"/>
      <c r="K135" s="137">
        <f t="shared" si="50"/>
        <v>21</v>
      </c>
      <c r="L135" s="137"/>
      <c r="M135" s="29">
        <f t="shared" si="40"/>
        <v>3.38</v>
      </c>
      <c r="N135" s="25">
        <f t="shared" si="51"/>
        <v>5.56</v>
      </c>
      <c r="O135" s="7"/>
    </row>
    <row r="136" spans="1:15" x14ac:dyDescent="0.35">
      <c r="A136" s="21" t="s">
        <v>59</v>
      </c>
      <c r="B136" s="23">
        <v>621</v>
      </c>
      <c r="C136" s="140" t="s">
        <v>73</v>
      </c>
      <c r="D136" s="141"/>
      <c r="E136" s="25">
        <v>20</v>
      </c>
      <c r="F136" s="25"/>
      <c r="G136" s="25"/>
      <c r="H136" s="25"/>
      <c r="I136" s="25"/>
      <c r="J136" s="25"/>
      <c r="K136" s="137">
        <f t="shared" si="50"/>
        <v>20</v>
      </c>
      <c r="L136" s="137"/>
      <c r="M136" s="29">
        <f t="shared" si="40"/>
        <v>3.22</v>
      </c>
      <c r="N136" s="25">
        <f t="shared" si="51"/>
        <v>13.16</v>
      </c>
      <c r="O136" s="7"/>
    </row>
    <row r="137" spans="1:15" x14ac:dyDescent="0.35">
      <c r="A137" s="21" t="s">
        <v>60</v>
      </c>
      <c r="B137" s="23">
        <v>690</v>
      </c>
      <c r="C137" s="140" t="s">
        <v>72</v>
      </c>
      <c r="D137" s="141"/>
      <c r="E137" s="25">
        <v>3</v>
      </c>
      <c r="F137" s="25">
        <v>3</v>
      </c>
      <c r="G137" s="25">
        <v>6.5</v>
      </c>
      <c r="H137" s="25"/>
      <c r="I137" s="25"/>
      <c r="J137" s="25"/>
      <c r="K137" s="137">
        <f t="shared" si="50"/>
        <v>12.5</v>
      </c>
      <c r="L137" s="137"/>
      <c r="M137" s="29">
        <f t="shared" si="40"/>
        <v>1.81</v>
      </c>
      <c r="N137" s="25">
        <f t="shared" si="51"/>
        <v>6.8</v>
      </c>
      <c r="O137" s="7"/>
    </row>
    <row r="138" spans="1:15" x14ac:dyDescent="0.35">
      <c r="A138" s="21" t="s">
        <v>60</v>
      </c>
      <c r="B138" s="23">
        <v>690</v>
      </c>
      <c r="C138" s="140">
        <v>11</v>
      </c>
      <c r="D138" s="141"/>
      <c r="E138" s="25">
        <v>7.5</v>
      </c>
      <c r="F138" s="25">
        <v>5.8</v>
      </c>
      <c r="G138" s="25"/>
      <c r="H138" s="25"/>
      <c r="I138" s="25"/>
      <c r="J138" s="25"/>
      <c r="K138" s="137">
        <f t="shared" si="50"/>
        <v>13.3</v>
      </c>
      <c r="L138" s="137"/>
      <c r="M138" s="29">
        <f t="shared" si="40"/>
        <v>1.93</v>
      </c>
      <c r="N138" s="25">
        <f t="shared" si="51"/>
        <v>5.01</v>
      </c>
      <c r="O138" s="7"/>
    </row>
    <row r="139" spans="1:15" x14ac:dyDescent="0.35">
      <c r="A139" s="21" t="s">
        <v>60</v>
      </c>
      <c r="B139" s="23">
        <v>690</v>
      </c>
      <c r="C139" s="140" t="s">
        <v>69</v>
      </c>
      <c r="D139" s="141"/>
      <c r="E139" s="25">
        <v>10.8</v>
      </c>
      <c r="F139" s="25">
        <v>2.2000000000000002</v>
      </c>
      <c r="G139" s="25"/>
      <c r="H139" s="25"/>
      <c r="I139" s="25"/>
      <c r="J139" s="25"/>
      <c r="K139" s="137">
        <f t="shared" si="50"/>
        <v>13</v>
      </c>
      <c r="L139" s="137"/>
      <c r="M139" s="29">
        <f t="shared" si="40"/>
        <v>1.88</v>
      </c>
      <c r="N139" s="25">
        <f t="shared" si="51"/>
        <v>4.0199999999999996</v>
      </c>
      <c r="O139" s="7"/>
    </row>
    <row r="140" spans="1:15" x14ac:dyDescent="0.35">
      <c r="A140" s="21" t="s">
        <v>60</v>
      </c>
      <c r="B140" s="23">
        <v>690</v>
      </c>
      <c r="C140" s="140" t="s">
        <v>73</v>
      </c>
      <c r="D140" s="141"/>
      <c r="E140" s="25">
        <v>7.5</v>
      </c>
      <c r="F140" s="25">
        <v>1.2</v>
      </c>
      <c r="G140" s="25">
        <v>2.2000000000000002</v>
      </c>
      <c r="H140" s="25"/>
      <c r="I140" s="25"/>
      <c r="J140" s="25"/>
      <c r="K140" s="137">
        <f t="shared" ref="K140" si="55">IF(SUM(E140:J140)=0,"",SUM(E140:J140))</f>
        <v>10.899999999999999</v>
      </c>
      <c r="L140" s="137"/>
      <c r="M140" s="29">
        <f t="shared" ref="M140" si="56">ROUND((K140/B140)*100,2)</f>
        <v>1.58</v>
      </c>
      <c r="N140" s="25">
        <f t="shared" ref="N140" si="57">IFERROR(IF(M140&lt;0.1,0,ROUND(VLOOKUP(C140,DVtable,2,FALSE)*(LOG(M140))^6+VLOOKUP(C140,DVtable,3,FALSE)*(LOG(M140))^5+VLOOKUP(C140,DVtable,4,FALSE)*(LOG(M140))^4+VLOOKUP(C140,DVtable,5,FALSE)*(LOG(M140))^3+VLOOKUP(C140,DVtable,6,FALSE)*(LOG(M140))^2+VLOOKUP(C140,DVtable,7,FALSE)*(LOG(M140))+VLOOKUP(C140,DVtable,8,FALSE),2)),0)</f>
        <v>10.07</v>
      </c>
      <c r="O140" s="7"/>
    </row>
    <row r="141" spans="1:15" x14ac:dyDescent="0.35">
      <c r="A141" s="21" t="s">
        <v>61</v>
      </c>
      <c r="B141" s="23">
        <v>627</v>
      </c>
      <c r="C141" s="140" t="s">
        <v>72</v>
      </c>
      <c r="D141" s="141"/>
      <c r="E141" s="25">
        <v>2</v>
      </c>
      <c r="F141" s="25">
        <v>1.5</v>
      </c>
      <c r="G141" s="25">
        <v>5</v>
      </c>
      <c r="H141" s="25">
        <v>3.5</v>
      </c>
      <c r="I141" s="25">
        <v>5.5</v>
      </c>
      <c r="J141" s="25"/>
      <c r="K141" s="137">
        <f>IF(SUM(E141:J141)=0,"",SUM(E141:J141))</f>
        <v>17.5</v>
      </c>
      <c r="L141" s="137"/>
      <c r="M141" s="29">
        <f>ROUND((K141/B141)*100,2)</f>
        <v>2.79</v>
      </c>
      <c r="N141" s="25">
        <f>IFERROR(IF(M141&lt;0.1,0,ROUND(VLOOKUP(C141,DVtable,2,FALSE)*(LOG(M141))^6+VLOOKUP(C141,DVtable,3,FALSE)*(LOG(M141))^5+VLOOKUP(C141,DVtable,4,FALSE)*(LOG(M141))^4+VLOOKUP(C141,DVtable,5,FALSE)*(LOG(M141))^3+VLOOKUP(C141,DVtable,6,FALSE)*(LOG(M141))^2+VLOOKUP(C141,DVtable,7,FALSE)*(LOG(M141))+VLOOKUP(C141,DVtable,8,FALSE),2)),0)</f>
        <v>9.32</v>
      </c>
      <c r="O141" s="7"/>
    </row>
    <row r="142" spans="1:15" x14ac:dyDescent="0.35">
      <c r="A142" s="21" t="s">
        <v>61</v>
      </c>
      <c r="B142" s="23">
        <v>627</v>
      </c>
      <c r="C142" s="140" t="s">
        <v>75</v>
      </c>
      <c r="D142" s="141"/>
      <c r="E142" s="25">
        <v>5</v>
      </c>
      <c r="F142" s="25">
        <v>2</v>
      </c>
      <c r="G142" s="25">
        <v>1</v>
      </c>
      <c r="H142" s="25">
        <v>0.8</v>
      </c>
      <c r="I142" s="25">
        <v>1.2</v>
      </c>
      <c r="J142" s="25"/>
      <c r="K142" s="137">
        <f>IF(SUM(E142:J142)=0,"",SUM(E142:J142))</f>
        <v>10</v>
      </c>
      <c r="L142" s="137"/>
      <c r="M142" s="29">
        <f>ROUND((K142/B142)*100,2)</f>
        <v>1.59</v>
      </c>
      <c r="N142" s="25">
        <f>IFERROR(IF(M142&lt;0.1,0,ROUND(VLOOKUP(C142,DVtable,2,FALSE)*(LOG(M142))^6+VLOOKUP(C142,DVtable,3,FALSE)*(LOG(M142))^5+VLOOKUP(C142,DVtable,4,FALSE)*(LOG(M142))^4+VLOOKUP(C142,DVtable,5,FALSE)*(LOG(M142))^3+VLOOKUP(C142,DVtable,6,FALSE)*(LOG(M142))^2+VLOOKUP(C142,DVtable,7,FALSE)*(LOG(M142))+VLOOKUP(C142,DVtable,8,FALSE),2)),0)</f>
        <v>13.7</v>
      </c>
      <c r="O142" s="7"/>
    </row>
    <row r="143" spans="1:15" x14ac:dyDescent="0.35">
      <c r="A143" s="21" t="s">
        <v>61</v>
      </c>
      <c r="B143" s="23">
        <v>627</v>
      </c>
      <c r="C143" s="140" t="s">
        <v>73</v>
      </c>
      <c r="D143" s="141"/>
      <c r="E143" s="25">
        <v>4</v>
      </c>
      <c r="F143" s="25">
        <v>3</v>
      </c>
      <c r="G143" s="25"/>
      <c r="H143" s="25"/>
      <c r="I143" s="25"/>
      <c r="J143" s="25"/>
      <c r="K143" s="137">
        <f t="shared" si="50"/>
        <v>7</v>
      </c>
      <c r="L143" s="137"/>
      <c r="M143" s="29">
        <f t="shared" si="40"/>
        <v>1.1200000000000001</v>
      </c>
      <c r="N143" s="25">
        <f t="shared" si="51"/>
        <v>8.7899999999999991</v>
      </c>
      <c r="O143" s="7"/>
    </row>
    <row r="144" spans="1:15" x14ac:dyDescent="0.35">
      <c r="A144" s="21" t="s">
        <v>62</v>
      </c>
      <c r="B144" s="23">
        <v>621</v>
      </c>
      <c r="C144" s="140" t="s">
        <v>95</v>
      </c>
      <c r="D144" s="141"/>
      <c r="E144" s="25">
        <v>3</v>
      </c>
      <c r="F144" s="25">
        <v>2</v>
      </c>
      <c r="G144" s="25">
        <v>2</v>
      </c>
      <c r="H144" s="25"/>
      <c r="I144" s="25"/>
      <c r="J144" s="25"/>
      <c r="K144" s="137">
        <f t="shared" si="50"/>
        <v>7</v>
      </c>
      <c r="L144" s="137"/>
      <c r="M144" s="29">
        <f t="shared" si="40"/>
        <v>1.1299999999999999</v>
      </c>
      <c r="N144" s="25">
        <f t="shared" si="51"/>
        <v>7.6</v>
      </c>
      <c r="O144" s="7"/>
    </row>
    <row r="145" spans="1:15" x14ac:dyDescent="0.35">
      <c r="A145" s="21" t="s">
        <v>62</v>
      </c>
      <c r="B145" s="23">
        <v>621</v>
      </c>
      <c r="C145" s="140" t="s">
        <v>72</v>
      </c>
      <c r="D145" s="141"/>
      <c r="E145" s="25">
        <v>2.6</v>
      </c>
      <c r="F145" s="25">
        <v>7.2</v>
      </c>
      <c r="G145" s="25"/>
      <c r="H145" s="25"/>
      <c r="I145" s="25"/>
      <c r="J145" s="25"/>
      <c r="K145" s="137">
        <f t="shared" si="50"/>
        <v>9.8000000000000007</v>
      </c>
      <c r="L145" s="137"/>
      <c r="M145" s="29">
        <f t="shared" si="40"/>
        <v>1.58</v>
      </c>
      <c r="N145" s="25">
        <f t="shared" si="51"/>
        <v>6.23</v>
      </c>
      <c r="O145" s="7"/>
    </row>
    <row r="146" spans="1:15" x14ac:dyDescent="0.35">
      <c r="A146" s="21" t="s">
        <v>62</v>
      </c>
      <c r="B146" s="23">
        <v>621</v>
      </c>
      <c r="C146" s="140" t="s">
        <v>69</v>
      </c>
      <c r="D146" s="141"/>
      <c r="E146" s="25">
        <v>15</v>
      </c>
      <c r="F146" s="25">
        <v>15</v>
      </c>
      <c r="G146" s="25"/>
      <c r="H146" s="25"/>
      <c r="I146" s="25"/>
      <c r="J146" s="25"/>
      <c r="K146" s="137">
        <f t="shared" si="50"/>
        <v>30</v>
      </c>
      <c r="L146" s="137"/>
      <c r="M146" s="29">
        <f t="shared" si="40"/>
        <v>4.83</v>
      </c>
      <c r="N146" s="25">
        <f t="shared" si="51"/>
        <v>6.77</v>
      </c>
      <c r="O146" s="7"/>
    </row>
    <row r="147" spans="1:15" x14ac:dyDescent="0.35">
      <c r="A147" s="21" t="s">
        <v>63</v>
      </c>
      <c r="B147" s="23">
        <v>690</v>
      </c>
      <c r="C147" s="138" t="s">
        <v>95</v>
      </c>
      <c r="D147" s="139"/>
      <c r="E147" s="25">
        <v>2</v>
      </c>
      <c r="F147" s="25"/>
      <c r="G147" s="25"/>
      <c r="H147" s="25"/>
      <c r="I147" s="25"/>
      <c r="J147" s="25"/>
      <c r="K147" s="137">
        <f t="shared" si="50"/>
        <v>2</v>
      </c>
      <c r="L147" s="137"/>
      <c r="M147" s="29">
        <f t="shared" si="40"/>
        <v>0.28999999999999998</v>
      </c>
      <c r="N147" s="25">
        <f t="shared" si="51"/>
        <v>5.0999999999999996</v>
      </c>
      <c r="O147" s="7"/>
    </row>
    <row r="148" spans="1:15" x14ac:dyDescent="0.35">
      <c r="A148" s="21" t="s">
        <v>63</v>
      </c>
      <c r="B148" s="23">
        <v>690</v>
      </c>
      <c r="C148" s="138" t="s">
        <v>73</v>
      </c>
      <c r="D148" s="139"/>
      <c r="E148" s="25">
        <v>30</v>
      </c>
      <c r="F148" s="25"/>
      <c r="G148" s="25"/>
      <c r="H148" s="25"/>
      <c r="I148" s="25"/>
      <c r="J148" s="25"/>
      <c r="K148" s="137">
        <f t="shared" si="50"/>
        <v>30</v>
      </c>
      <c r="L148" s="137"/>
      <c r="M148" s="29">
        <f t="shared" si="40"/>
        <v>4.3499999999999996</v>
      </c>
      <c r="N148" s="25">
        <f t="shared" si="51"/>
        <v>14.72</v>
      </c>
      <c r="O148" s="7"/>
    </row>
    <row r="149" spans="1:15" x14ac:dyDescent="0.35">
      <c r="A149" s="21" t="s">
        <v>63</v>
      </c>
      <c r="B149" s="23">
        <v>690</v>
      </c>
      <c r="C149" s="138">
        <v>11</v>
      </c>
      <c r="D149" s="139"/>
      <c r="E149" s="25">
        <v>10</v>
      </c>
      <c r="F149" s="25">
        <v>2</v>
      </c>
      <c r="G149" s="25"/>
      <c r="H149" s="25"/>
      <c r="I149" s="25"/>
      <c r="J149" s="25"/>
      <c r="K149" s="137">
        <f t="shared" si="50"/>
        <v>12</v>
      </c>
      <c r="L149" s="137"/>
      <c r="M149" s="29">
        <f t="shared" si="40"/>
        <v>1.74</v>
      </c>
      <c r="N149" s="25">
        <f t="shared" si="51"/>
        <v>4.6100000000000003</v>
      </c>
      <c r="O149" s="7"/>
    </row>
    <row r="150" spans="1:15" x14ac:dyDescent="0.35">
      <c r="A150" s="21" t="s">
        <v>64</v>
      </c>
      <c r="B150" s="23">
        <v>627</v>
      </c>
      <c r="C150" s="138" t="s">
        <v>72</v>
      </c>
      <c r="D150" s="139"/>
      <c r="E150" s="25">
        <v>2</v>
      </c>
      <c r="F150" s="25">
        <v>3</v>
      </c>
      <c r="G150" s="25">
        <v>8</v>
      </c>
      <c r="H150" s="25">
        <v>2</v>
      </c>
      <c r="I150" s="25">
        <v>5</v>
      </c>
      <c r="J150" s="25"/>
      <c r="K150" s="137">
        <f t="shared" si="50"/>
        <v>20</v>
      </c>
      <c r="L150" s="137"/>
      <c r="M150" s="29">
        <f t="shared" si="40"/>
        <v>3.19</v>
      </c>
      <c r="N150" s="25">
        <f t="shared" si="51"/>
        <v>10.34</v>
      </c>
      <c r="O150" s="7"/>
    </row>
    <row r="151" spans="1:15" x14ac:dyDescent="0.35">
      <c r="A151" s="21" t="s">
        <v>65</v>
      </c>
      <c r="B151" s="23">
        <v>621</v>
      </c>
      <c r="C151" s="138" t="s">
        <v>68</v>
      </c>
      <c r="D151" s="139"/>
      <c r="E151" s="25">
        <v>2</v>
      </c>
      <c r="F151" s="25"/>
      <c r="G151" s="25"/>
      <c r="H151" s="25"/>
      <c r="I151" s="25"/>
      <c r="J151" s="25"/>
      <c r="K151" s="137">
        <f t="shared" si="50"/>
        <v>2</v>
      </c>
      <c r="L151" s="137"/>
      <c r="M151" s="29">
        <f t="shared" si="40"/>
        <v>0.32</v>
      </c>
      <c r="N151" s="25">
        <f t="shared" si="51"/>
        <v>2.2400000000000002</v>
      </c>
      <c r="O151" s="7"/>
    </row>
    <row r="152" spans="1:15" x14ac:dyDescent="0.35">
      <c r="A152" s="21" t="s">
        <v>65</v>
      </c>
      <c r="B152" s="23">
        <v>621</v>
      </c>
      <c r="C152" s="138" t="s">
        <v>72</v>
      </c>
      <c r="D152" s="139"/>
      <c r="E152" s="25">
        <v>3</v>
      </c>
      <c r="F152" s="25">
        <v>3</v>
      </c>
      <c r="G152" s="25">
        <v>2</v>
      </c>
      <c r="H152" s="25">
        <v>10</v>
      </c>
      <c r="I152" s="25"/>
      <c r="J152" s="25"/>
      <c r="K152" s="137">
        <f t="shared" ref="K152:K153" si="58">IF(SUM(E152:J152)=0,"",SUM(E152:J152))</f>
        <v>18</v>
      </c>
      <c r="L152" s="137"/>
      <c r="M152" s="29">
        <f t="shared" ref="M152:M153" si="59">ROUND((K152/B152)*100,2)</f>
        <v>2.9</v>
      </c>
      <c r="N152" s="25">
        <f t="shared" ref="N152:N153" si="60">IFERROR(IF(M152&lt;0.1,0,ROUND(VLOOKUP(C152,DVtable,2,FALSE)*(LOG(M152))^6+VLOOKUP(C152,DVtable,3,FALSE)*(LOG(M152))^5+VLOOKUP(C152,DVtable,4,FALSE)*(LOG(M152))^4+VLOOKUP(C152,DVtable,5,FALSE)*(LOG(M152))^3+VLOOKUP(C152,DVtable,6,FALSE)*(LOG(M152))^2+VLOOKUP(C152,DVtable,7,FALSE)*(LOG(M152))+VLOOKUP(C152,DVtable,8,FALSE),2)),0)</f>
        <v>9.61</v>
      </c>
      <c r="O152" s="7"/>
    </row>
    <row r="153" spans="1:15" x14ac:dyDescent="0.35">
      <c r="A153" s="21" t="s">
        <v>65</v>
      </c>
      <c r="B153" s="23">
        <v>621</v>
      </c>
      <c r="C153" s="138" t="s">
        <v>75</v>
      </c>
      <c r="D153" s="139"/>
      <c r="E153" s="25">
        <v>4</v>
      </c>
      <c r="F153" s="25">
        <v>4</v>
      </c>
      <c r="G153" s="25">
        <v>2</v>
      </c>
      <c r="H153" s="25">
        <v>6</v>
      </c>
      <c r="I153" s="25">
        <v>2</v>
      </c>
      <c r="J153" s="25"/>
      <c r="K153" s="137">
        <f t="shared" si="58"/>
        <v>18</v>
      </c>
      <c r="L153" s="137"/>
      <c r="M153" s="29">
        <f t="shared" si="59"/>
        <v>2.9</v>
      </c>
      <c r="N153" s="25">
        <f t="shared" si="60"/>
        <v>18.78</v>
      </c>
      <c r="O153" s="7"/>
    </row>
    <row r="154" spans="1:15" x14ac:dyDescent="0.35">
      <c r="A154" s="21" t="s">
        <v>65</v>
      </c>
      <c r="B154" s="23">
        <v>621</v>
      </c>
      <c r="C154" s="138" t="s">
        <v>69</v>
      </c>
      <c r="D154" s="139"/>
      <c r="E154" s="25">
        <v>30</v>
      </c>
      <c r="F154" s="25"/>
      <c r="G154" s="25"/>
      <c r="H154" s="25"/>
      <c r="I154" s="25"/>
      <c r="J154" s="25"/>
      <c r="K154" s="137">
        <f t="shared" ref="K154" si="61">IF(SUM(E154:J154)=0,"",SUM(E154:J154))</f>
        <v>30</v>
      </c>
      <c r="L154" s="137"/>
      <c r="M154" s="29">
        <f t="shared" ref="M154" si="62">ROUND((K154/B154)*100,2)</f>
        <v>4.83</v>
      </c>
      <c r="N154" s="25">
        <f t="shared" ref="N154" si="63">IFERROR(IF(M154&lt;0.1,0,ROUND(VLOOKUP(C154,DVtable,2,FALSE)*(LOG(M154))^6+VLOOKUP(C154,DVtable,3,FALSE)*(LOG(M154))^5+VLOOKUP(C154,DVtable,4,FALSE)*(LOG(M154))^4+VLOOKUP(C154,DVtable,5,FALSE)*(LOG(M154))^3+VLOOKUP(C154,DVtable,6,FALSE)*(LOG(M154))^2+VLOOKUP(C154,DVtable,7,FALSE)*(LOG(M154))+VLOOKUP(C154,DVtable,8,FALSE),2)),0)</f>
        <v>6.77</v>
      </c>
      <c r="O154" s="7"/>
    </row>
    <row r="155" spans="1:15" x14ac:dyDescent="0.35">
      <c r="A155" s="21" t="s">
        <v>65</v>
      </c>
      <c r="B155" s="23">
        <v>621</v>
      </c>
      <c r="C155" s="138" t="s">
        <v>73</v>
      </c>
      <c r="D155" s="139"/>
      <c r="E155" s="25">
        <v>10</v>
      </c>
      <c r="F155" s="25">
        <v>4</v>
      </c>
      <c r="G155" s="25">
        <v>8</v>
      </c>
      <c r="H155" s="25">
        <v>2</v>
      </c>
      <c r="I155" s="25"/>
      <c r="J155" s="25"/>
      <c r="K155" s="137">
        <f t="shared" si="50"/>
        <v>24</v>
      </c>
      <c r="L155" s="137"/>
      <c r="M155" s="29">
        <f t="shared" si="40"/>
        <v>3.86</v>
      </c>
      <c r="N155" s="25">
        <f t="shared" si="51"/>
        <v>14.08</v>
      </c>
      <c r="O155" s="7"/>
    </row>
    <row r="156" spans="1:15" x14ac:dyDescent="0.35">
      <c r="A156" s="21" t="s">
        <v>66</v>
      </c>
      <c r="B156" s="23">
        <v>690</v>
      </c>
      <c r="C156" s="138" t="s">
        <v>72</v>
      </c>
      <c r="D156" s="139"/>
      <c r="E156" s="25">
        <v>10</v>
      </c>
      <c r="F156" s="25">
        <v>5</v>
      </c>
      <c r="G156" s="25">
        <v>5</v>
      </c>
      <c r="H156" s="25"/>
      <c r="I156" s="25"/>
      <c r="J156" s="25"/>
      <c r="K156" s="137">
        <f t="shared" si="50"/>
        <v>20</v>
      </c>
      <c r="L156" s="137"/>
      <c r="M156" s="29">
        <f t="shared" si="40"/>
        <v>2.9</v>
      </c>
      <c r="N156" s="25">
        <f t="shared" si="51"/>
        <v>9.61</v>
      </c>
      <c r="O156" s="7"/>
    </row>
    <row r="157" spans="1:15" x14ac:dyDescent="0.35">
      <c r="A157" s="21" t="s">
        <v>66</v>
      </c>
      <c r="B157" s="23">
        <v>690</v>
      </c>
      <c r="C157" s="140">
        <v>11</v>
      </c>
      <c r="D157" s="141"/>
      <c r="E157" s="25">
        <v>12</v>
      </c>
      <c r="F157" s="25"/>
      <c r="G157" s="25"/>
      <c r="H157" s="25"/>
      <c r="I157" s="25"/>
      <c r="J157" s="25"/>
      <c r="K157" s="137">
        <f t="shared" si="50"/>
        <v>12</v>
      </c>
      <c r="L157" s="137"/>
      <c r="M157" s="29">
        <f t="shared" si="40"/>
        <v>1.74</v>
      </c>
      <c r="N157" s="25">
        <f t="shared" si="51"/>
        <v>4.6100000000000003</v>
      </c>
      <c r="O157" s="7"/>
    </row>
    <row r="158" spans="1:15" x14ac:dyDescent="0.35">
      <c r="A158" s="21" t="s">
        <v>66</v>
      </c>
      <c r="B158" s="23">
        <v>690</v>
      </c>
      <c r="C158" s="140" t="s">
        <v>69</v>
      </c>
      <c r="D158" s="141"/>
      <c r="E158" s="25">
        <v>8</v>
      </c>
      <c r="F158" s="25">
        <v>2</v>
      </c>
      <c r="G158" s="25"/>
      <c r="H158" s="25"/>
      <c r="I158" s="25"/>
      <c r="J158" s="25"/>
      <c r="K158" s="137">
        <f t="shared" si="50"/>
        <v>10</v>
      </c>
      <c r="L158" s="137"/>
      <c r="M158" s="29">
        <f t="shared" si="40"/>
        <v>1.45</v>
      </c>
      <c r="N158" s="25">
        <f t="shared" si="51"/>
        <v>3.51</v>
      </c>
      <c r="O158" s="7"/>
    </row>
    <row r="159" spans="1:15" x14ac:dyDescent="0.35">
      <c r="A159" s="21" t="s">
        <v>135</v>
      </c>
      <c r="B159" s="23">
        <v>627</v>
      </c>
      <c r="C159" s="140" t="s">
        <v>82</v>
      </c>
      <c r="D159" s="141"/>
      <c r="E159" s="25">
        <v>2</v>
      </c>
      <c r="F159" s="25"/>
      <c r="G159" s="25"/>
      <c r="H159" s="25"/>
      <c r="I159" s="25"/>
      <c r="J159" s="25"/>
      <c r="K159" s="137">
        <f t="shared" si="50"/>
        <v>2</v>
      </c>
      <c r="L159" s="137"/>
      <c r="M159" s="29">
        <f t="shared" si="40"/>
        <v>0.32</v>
      </c>
      <c r="N159" s="25">
        <f t="shared" si="51"/>
        <v>11.72</v>
      </c>
      <c r="O159" s="7"/>
    </row>
    <row r="160" spans="1:15" x14ac:dyDescent="0.35">
      <c r="A160" s="21" t="s">
        <v>135</v>
      </c>
      <c r="B160" s="23">
        <v>627</v>
      </c>
      <c r="C160" s="140" t="s">
        <v>72</v>
      </c>
      <c r="D160" s="141"/>
      <c r="E160" s="25">
        <v>10</v>
      </c>
      <c r="F160" s="25">
        <v>2</v>
      </c>
      <c r="G160" s="25"/>
      <c r="H160" s="25"/>
      <c r="I160" s="25"/>
      <c r="J160" s="25"/>
      <c r="K160" s="137">
        <f t="shared" si="50"/>
        <v>12</v>
      </c>
      <c r="L160" s="137"/>
      <c r="M160" s="29">
        <f t="shared" si="40"/>
        <v>1.91</v>
      </c>
      <c r="N160" s="25">
        <f t="shared" si="51"/>
        <v>7.05</v>
      </c>
      <c r="O160" s="7"/>
    </row>
    <row r="161" spans="1:14" x14ac:dyDescent="0.35">
      <c r="A161" s="21" t="s">
        <v>135</v>
      </c>
      <c r="B161" s="23">
        <v>627</v>
      </c>
      <c r="C161" s="140" t="s">
        <v>75</v>
      </c>
      <c r="D161" s="141"/>
      <c r="E161" s="25">
        <v>2</v>
      </c>
      <c r="F161" s="25">
        <v>4</v>
      </c>
      <c r="G161" s="25">
        <v>2</v>
      </c>
      <c r="H161" s="25">
        <v>6</v>
      </c>
      <c r="I161" s="25">
        <v>3.5</v>
      </c>
      <c r="J161" s="25"/>
      <c r="K161" s="137">
        <f t="shared" ref="K161:K262" si="64">IF(SUM(E161:J161)=0,"",SUM(E161:J161))</f>
        <v>17.5</v>
      </c>
      <c r="L161" s="137"/>
      <c r="M161" s="29">
        <f t="shared" ref="M161:M262" si="65">ROUND((K161/B161)*100,2)</f>
        <v>2.79</v>
      </c>
      <c r="N161" s="25">
        <f t="shared" ref="N161:N262" si="66">IFERROR(IF(M161&lt;0.1,0,ROUND(VLOOKUP(C161,DVtable,2,FALSE)*(LOG(M161))^6+VLOOKUP(C161,DVtable,3,FALSE)*(LOG(M161))^5+VLOOKUP(C161,DVtable,4,FALSE)*(LOG(M161))^4+VLOOKUP(C161,DVtable,5,FALSE)*(LOG(M161))^3+VLOOKUP(C161,DVtable,6,FALSE)*(LOG(M161))^2+VLOOKUP(C161,DVtable,7,FALSE)*(LOG(M161))+VLOOKUP(C161,DVtable,8,FALSE),2)),0)</f>
        <v>18.39</v>
      </c>
    </row>
    <row r="162" spans="1:14" x14ac:dyDescent="0.35">
      <c r="A162" s="21" t="s">
        <v>136</v>
      </c>
      <c r="B162" s="23">
        <v>621</v>
      </c>
      <c r="C162" s="140" t="s">
        <v>95</v>
      </c>
      <c r="D162" s="141"/>
      <c r="E162" s="25">
        <v>0.6</v>
      </c>
      <c r="F162" s="25"/>
      <c r="G162" s="25"/>
      <c r="H162" s="25"/>
      <c r="I162" s="25"/>
      <c r="J162" s="25"/>
      <c r="K162" s="137">
        <f t="shared" si="64"/>
        <v>0.6</v>
      </c>
      <c r="L162" s="137"/>
      <c r="M162" s="29">
        <f t="shared" si="65"/>
        <v>0.1</v>
      </c>
      <c r="N162" s="25">
        <f t="shared" si="66"/>
        <v>4.63</v>
      </c>
    </row>
    <row r="163" spans="1:14" x14ac:dyDescent="0.35">
      <c r="A163" s="21" t="s">
        <v>136</v>
      </c>
      <c r="B163" s="23">
        <v>621</v>
      </c>
      <c r="C163" s="140" t="s">
        <v>72</v>
      </c>
      <c r="D163" s="141"/>
      <c r="E163" s="25">
        <v>2</v>
      </c>
      <c r="F163" s="25">
        <v>2</v>
      </c>
      <c r="G163" s="25">
        <v>2</v>
      </c>
      <c r="H163" s="25">
        <v>1</v>
      </c>
      <c r="I163" s="25">
        <v>3</v>
      </c>
      <c r="J163" s="25"/>
      <c r="K163" s="137">
        <f t="shared" ref="K163:K165" si="67">IF(SUM(E163:J163)=0,"",SUM(E163:J163))</f>
        <v>10</v>
      </c>
      <c r="L163" s="137"/>
      <c r="M163" s="29">
        <f t="shared" ref="M163:M165" si="68">ROUND((K163/B163)*100,2)</f>
        <v>1.61</v>
      </c>
      <c r="N163" s="25">
        <f t="shared" ref="N163:N165" si="69">IFERROR(IF(M163&lt;0.1,0,ROUND(VLOOKUP(C163,DVtable,2,FALSE)*(LOG(M163))^6+VLOOKUP(C163,DVtable,3,FALSE)*(LOG(M163))^5+VLOOKUP(C163,DVtable,4,FALSE)*(LOG(M163))^4+VLOOKUP(C163,DVtable,5,FALSE)*(LOG(M163))^3+VLOOKUP(C163,DVtable,6,FALSE)*(LOG(M163))^2+VLOOKUP(C163,DVtable,7,FALSE)*(LOG(M163))+VLOOKUP(C163,DVtable,8,FALSE),2)),0)</f>
        <v>6.3</v>
      </c>
    </row>
    <row r="164" spans="1:14" x14ac:dyDescent="0.35">
      <c r="A164" s="21" t="s">
        <v>137</v>
      </c>
      <c r="B164" s="23">
        <v>690</v>
      </c>
      <c r="C164" s="140" t="s">
        <v>72</v>
      </c>
      <c r="D164" s="141"/>
      <c r="E164" s="25">
        <v>2</v>
      </c>
      <c r="F164" s="25">
        <v>1</v>
      </c>
      <c r="G164" s="25"/>
      <c r="H164" s="25"/>
      <c r="I164" s="25"/>
      <c r="J164" s="25"/>
      <c r="K164" s="137">
        <f t="shared" si="67"/>
        <v>3</v>
      </c>
      <c r="L164" s="137"/>
      <c r="M164" s="29">
        <f t="shared" si="68"/>
        <v>0.43</v>
      </c>
      <c r="N164" s="25">
        <f t="shared" si="69"/>
        <v>3.61</v>
      </c>
    </row>
    <row r="165" spans="1:14" x14ac:dyDescent="0.35">
      <c r="A165" s="21" t="s">
        <v>137</v>
      </c>
      <c r="B165" s="23">
        <v>690</v>
      </c>
      <c r="C165" s="140" t="s">
        <v>69</v>
      </c>
      <c r="D165" s="141"/>
      <c r="E165" s="25">
        <v>8</v>
      </c>
      <c r="F165" s="25">
        <v>8</v>
      </c>
      <c r="G165" s="25"/>
      <c r="H165" s="25"/>
      <c r="I165" s="25"/>
      <c r="J165" s="25"/>
      <c r="K165" s="137">
        <f t="shared" si="67"/>
        <v>16</v>
      </c>
      <c r="L165" s="137"/>
      <c r="M165" s="29">
        <f t="shared" si="68"/>
        <v>2.3199999999999998</v>
      </c>
      <c r="N165" s="25">
        <f t="shared" si="69"/>
        <v>4.51</v>
      </c>
    </row>
    <row r="166" spans="1:14" x14ac:dyDescent="0.35">
      <c r="A166" s="21" t="s">
        <v>137</v>
      </c>
      <c r="B166" s="23">
        <v>690</v>
      </c>
      <c r="C166" s="140" t="s">
        <v>30</v>
      </c>
      <c r="D166" s="141"/>
      <c r="E166" s="25">
        <v>5</v>
      </c>
      <c r="F166" s="25"/>
      <c r="G166" s="25"/>
      <c r="H166" s="25"/>
      <c r="I166" s="25"/>
      <c r="J166" s="25"/>
      <c r="K166" s="137">
        <f t="shared" si="64"/>
        <v>5</v>
      </c>
      <c r="L166" s="137"/>
      <c r="M166" s="29">
        <f t="shared" si="65"/>
        <v>0.72</v>
      </c>
      <c r="N166" s="25">
        <f t="shared" si="66"/>
        <v>13.58</v>
      </c>
    </row>
    <row r="167" spans="1:14" x14ac:dyDescent="0.35">
      <c r="A167" s="21" t="s">
        <v>138</v>
      </c>
      <c r="B167" s="23">
        <v>627</v>
      </c>
      <c r="C167" s="140" t="s">
        <v>69</v>
      </c>
      <c r="D167" s="141"/>
      <c r="E167" s="25">
        <v>30</v>
      </c>
      <c r="F167" s="25"/>
      <c r="G167" s="25"/>
      <c r="H167" s="25"/>
      <c r="I167" s="25"/>
      <c r="J167" s="25"/>
      <c r="K167" s="137">
        <f t="shared" si="64"/>
        <v>30</v>
      </c>
      <c r="L167" s="137"/>
      <c r="M167" s="29">
        <f t="shared" si="65"/>
        <v>4.78</v>
      </c>
      <c r="N167" s="25">
        <f t="shared" si="66"/>
        <v>6.73</v>
      </c>
    </row>
    <row r="168" spans="1:14" x14ac:dyDescent="0.35">
      <c r="A168" s="21" t="s">
        <v>138</v>
      </c>
      <c r="B168" s="23">
        <v>627</v>
      </c>
      <c r="C168" s="140">
        <v>11</v>
      </c>
      <c r="D168" s="141"/>
      <c r="E168" s="25">
        <v>10</v>
      </c>
      <c r="F168" s="25"/>
      <c r="G168" s="25"/>
      <c r="H168" s="25"/>
      <c r="I168" s="25"/>
      <c r="J168" s="25"/>
      <c r="K168" s="137">
        <f t="shared" ref="K168:K169" si="70">IF(SUM(E168:J168)=0,"",SUM(E168:J168))</f>
        <v>10</v>
      </c>
      <c r="L168" s="137"/>
      <c r="M168" s="29">
        <f t="shared" ref="M168:M169" si="71">ROUND((K168/B168)*100,2)</f>
        <v>1.59</v>
      </c>
      <c r="N168" s="25">
        <f t="shared" ref="N168:N169" si="72">IFERROR(IF(M168&lt;0.1,0,ROUND(VLOOKUP(C168,DVtable,2,FALSE)*(LOG(M168))^6+VLOOKUP(C168,DVtable,3,FALSE)*(LOG(M168))^5+VLOOKUP(C168,DVtable,4,FALSE)*(LOG(M168))^4+VLOOKUP(C168,DVtable,5,FALSE)*(LOG(M168))^3+VLOOKUP(C168,DVtable,6,FALSE)*(LOG(M168))^2+VLOOKUP(C168,DVtable,7,FALSE)*(LOG(M168))+VLOOKUP(C168,DVtable,8,FALSE),2)),0)</f>
        <v>4.28</v>
      </c>
    </row>
    <row r="169" spans="1:14" x14ac:dyDescent="0.35">
      <c r="A169" s="21" t="s">
        <v>138</v>
      </c>
      <c r="B169" s="23">
        <v>627</v>
      </c>
      <c r="C169" s="140" t="s">
        <v>75</v>
      </c>
      <c r="D169" s="141"/>
      <c r="E169" s="25">
        <v>3</v>
      </c>
      <c r="F169" s="25">
        <v>4</v>
      </c>
      <c r="G169" s="25">
        <v>6</v>
      </c>
      <c r="H169" s="25"/>
      <c r="I169" s="25"/>
      <c r="J169" s="25"/>
      <c r="K169" s="137">
        <f t="shared" si="70"/>
        <v>13</v>
      </c>
      <c r="L169" s="137"/>
      <c r="M169" s="29">
        <f t="shared" si="71"/>
        <v>2.0699999999999998</v>
      </c>
      <c r="N169" s="25">
        <f t="shared" si="72"/>
        <v>15.68</v>
      </c>
    </row>
    <row r="170" spans="1:14" x14ac:dyDescent="0.35">
      <c r="A170" s="21" t="s">
        <v>138</v>
      </c>
      <c r="B170" s="23">
        <v>627</v>
      </c>
      <c r="C170" s="140" t="s">
        <v>30</v>
      </c>
      <c r="D170" s="141"/>
      <c r="E170" s="25">
        <v>3</v>
      </c>
      <c r="F170" s="25"/>
      <c r="G170" s="25"/>
      <c r="H170" s="25"/>
      <c r="I170" s="25"/>
      <c r="J170" s="25"/>
      <c r="K170" s="137">
        <f t="shared" ref="K170" si="73">IF(SUM(E170:J170)=0,"",SUM(E170:J170))</f>
        <v>3</v>
      </c>
      <c r="L170" s="137"/>
      <c r="M170" s="29">
        <f t="shared" ref="M170" si="74">ROUND((K170/B170)*100,2)</f>
        <v>0.48</v>
      </c>
      <c r="N170" s="25">
        <f t="shared" ref="N170" si="75">IFERROR(IF(M170&lt;0.1,0,ROUND(VLOOKUP(C170,DVtable,2,FALSE)*(LOG(M170))^6+VLOOKUP(C170,DVtable,3,FALSE)*(LOG(M170))^5+VLOOKUP(C170,DVtable,4,FALSE)*(LOG(M170))^4+VLOOKUP(C170,DVtable,5,FALSE)*(LOG(M170))^3+VLOOKUP(C170,DVtable,6,FALSE)*(LOG(M170))^2+VLOOKUP(C170,DVtable,7,FALSE)*(LOG(M170))+VLOOKUP(C170,DVtable,8,FALSE),2)),0)</f>
        <v>10.74</v>
      </c>
    </row>
    <row r="171" spans="1:14" x14ac:dyDescent="0.35">
      <c r="A171" s="21" t="s">
        <v>139</v>
      </c>
      <c r="B171" s="23">
        <v>621</v>
      </c>
      <c r="C171" s="140" t="s">
        <v>72</v>
      </c>
      <c r="D171" s="141"/>
      <c r="E171" s="25">
        <v>10</v>
      </c>
      <c r="F171" s="25">
        <v>2</v>
      </c>
      <c r="G171" s="25">
        <v>1.5</v>
      </c>
      <c r="H171" s="25">
        <v>3.8</v>
      </c>
      <c r="I171" s="25"/>
      <c r="J171" s="25"/>
      <c r="K171" s="137">
        <f t="shared" si="64"/>
        <v>17.3</v>
      </c>
      <c r="L171" s="137"/>
      <c r="M171" s="29">
        <f t="shared" si="65"/>
        <v>2.79</v>
      </c>
      <c r="N171" s="25">
        <f t="shared" si="66"/>
        <v>9.32</v>
      </c>
    </row>
    <row r="172" spans="1:14" x14ac:dyDescent="0.35">
      <c r="A172" s="21" t="s">
        <v>139</v>
      </c>
      <c r="B172" s="23">
        <v>621</v>
      </c>
      <c r="C172" s="140">
        <v>11</v>
      </c>
      <c r="D172" s="141"/>
      <c r="E172" s="25">
        <v>15</v>
      </c>
      <c r="F172" s="25">
        <v>4</v>
      </c>
      <c r="G172" s="25">
        <v>2</v>
      </c>
      <c r="H172" s="25"/>
      <c r="I172" s="25"/>
      <c r="J172" s="25"/>
      <c r="K172" s="137">
        <f t="shared" ref="K172:K174" si="76">IF(SUM(E172:J172)=0,"",SUM(E172:J172))</f>
        <v>21</v>
      </c>
      <c r="L172" s="137"/>
      <c r="M172" s="29">
        <f t="shared" ref="M172:M174" si="77">ROUND((K172/B172)*100,2)</f>
        <v>3.38</v>
      </c>
      <c r="N172" s="25">
        <f t="shared" ref="N172:N174" si="78">IFERROR(IF(M172&lt;0.1,0,ROUND(VLOOKUP(C172,DVtable,2,FALSE)*(LOG(M172))^6+VLOOKUP(C172,DVtable,3,FALSE)*(LOG(M172))^5+VLOOKUP(C172,DVtable,4,FALSE)*(LOG(M172))^4+VLOOKUP(C172,DVtable,5,FALSE)*(LOG(M172))^3+VLOOKUP(C172,DVtable,6,FALSE)*(LOG(M172))^2+VLOOKUP(C172,DVtable,7,FALSE)*(LOG(M172))+VLOOKUP(C172,DVtable,8,FALSE),2)),0)</f>
        <v>7.84</v>
      </c>
    </row>
    <row r="173" spans="1:14" x14ac:dyDescent="0.35">
      <c r="A173" s="21" t="s">
        <v>139</v>
      </c>
      <c r="B173" s="23">
        <v>621</v>
      </c>
      <c r="C173" s="140" t="s">
        <v>69</v>
      </c>
      <c r="D173" s="141"/>
      <c r="E173" s="25">
        <v>10</v>
      </c>
      <c r="F173" s="25">
        <v>10</v>
      </c>
      <c r="G173" s="25">
        <v>2</v>
      </c>
      <c r="H173" s="25"/>
      <c r="I173" s="25"/>
      <c r="J173" s="25"/>
      <c r="K173" s="137">
        <f t="shared" ref="K173" si="79">IF(SUM(E173:J173)=0,"",SUM(E173:J173))</f>
        <v>22</v>
      </c>
      <c r="L173" s="137"/>
      <c r="M173" s="29">
        <f t="shared" ref="M173" si="80">ROUND((K173/B173)*100,2)</f>
        <v>3.54</v>
      </c>
      <c r="N173" s="25">
        <f t="shared" ref="N173" si="81">IFERROR(IF(M173&lt;0.1,0,ROUND(VLOOKUP(C173,DVtable,2,FALSE)*(LOG(M173))^6+VLOOKUP(C173,DVtable,3,FALSE)*(LOG(M173))^5+VLOOKUP(C173,DVtable,4,FALSE)*(LOG(M173))^4+VLOOKUP(C173,DVtable,5,FALSE)*(LOG(M173))^3+VLOOKUP(C173,DVtable,6,FALSE)*(LOG(M173))^2+VLOOKUP(C173,DVtable,7,FALSE)*(LOG(M173))+VLOOKUP(C173,DVtable,8,FALSE),2)),0)</f>
        <v>5.7</v>
      </c>
    </row>
    <row r="174" spans="1:14" x14ac:dyDescent="0.35">
      <c r="A174" s="21" t="s">
        <v>139</v>
      </c>
      <c r="B174" s="23">
        <v>621</v>
      </c>
      <c r="C174" s="140" t="s">
        <v>73</v>
      </c>
      <c r="D174" s="141"/>
      <c r="E174" s="25">
        <v>20</v>
      </c>
      <c r="F174" s="25">
        <v>20</v>
      </c>
      <c r="G174" s="25"/>
      <c r="H174" s="25"/>
      <c r="I174" s="25"/>
      <c r="J174" s="25"/>
      <c r="K174" s="137">
        <f t="shared" si="76"/>
        <v>40</v>
      </c>
      <c r="L174" s="137"/>
      <c r="M174" s="29">
        <f t="shared" si="77"/>
        <v>6.44</v>
      </c>
      <c r="N174" s="25">
        <f t="shared" si="78"/>
        <v>17.149999999999999</v>
      </c>
    </row>
    <row r="175" spans="1:14" x14ac:dyDescent="0.35">
      <c r="A175" s="21" t="s">
        <v>140</v>
      </c>
      <c r="B175" s="23">
        <v>690</v>
      </c>
      <c r="C175" s="140" t="s">
        <v>75</v>
      </c>
      <c r="D175" s="141"/>
      <c r="E175" s="25">
        <v>5.8</v>
      </c>
      <c r="F175" s="25">
        <v>0.8</v>
      </c>
      <c r="G175" s="25">
        <v>0.8</v>
      </c>
      <c r="H175" s="25"/>
      <c r="I175" s="25"/>
      <c r="J175" s="25"/>
      <c r="K175" s="137">
        <f t="shared" si="64"/>
        <v>7.3999999999999995</v>
      </c>
      <c r="L175" s="137"/>
      <c r="M175" s="29">
        <f t="shared" si="65"/>
        <v>1.07</v>
      </c>
      <c r="N175" s="25">
        <f t="shared" si="66"/>
        <v>11.32</v>
      </c>
    </row>
    <row r="176" spans="1:14" x14ac:dyDescent="0.35">
      <c r="A176" s="21" t="s">
        <v>140</v>
      </c>
      <c r="B176" s="23">
        <v>690</v>
      </c>
      <c r="C176" s="140" t="s">
        <v>69</v>
      </c>
      <c r="D176" s="141"/>
      <c r="E176" s="25">
        <v>25</v>
      </c>
      <c r="F176" s="25"/>
      <c r="G176" s="25"/>
      <c r="H176" s="25"/>
      <c r="I176" s="25"/>
      <c r="J176" s="25"/>
      <c r="K176" s="137">
        <f t="shared" ref="K176:K178" si="82">IF(SUM(E176:J176)=0,"",SUM(E176:J176))</f>
        <v>25</v>
      </c>
      <c r="L176" s="137"/>
      <c r="M176" s="29">
        <f t="shared" ref="M176:M178" si="83">ROUND((K176/B176)*100,2)</f>
        <v>3.62</v>
      </c>
      <c r="N176" s="25">
        <f t="shared" ref="N176:N178" si="84">IFERROR(IF(M176&lt;0.1,0,ROUND(VLOOKUP(C176,DVtable,2,FALSE)*(LOG(M176))^6+VLOOKUP(C176,DVtable,3,FALSE)*(LOG(M176))^5+VLOOKUP(C176,DVtable,4,FALSE)*(LOG(M176))^4+VLOOKUP(C176,DVtable,5,FALSE)*(LOG(M176))^3+VLOOKUP(C176,DVtable,6,FALSE)*(LOG(M176))^2+VLOOKUP(C176,DVtable,7,FALSE)*(LOG(M176))+VLOOKUP(C176,DVtable,8,FALSE),2)),0)</f>
        <v>5.77</v>
      </c>
    </row>
    <row r="177" spans="1:14" x14ac:dyDescent="0.35">
      <c r="A177" s="21" t="s">
        <v>140</v>
      </c>
      <c r="B177" s="23">
        <v>690</v>
      </c>
      <c r="C177" s="140">
        <v>11</v>
      </c>
      <c r="D177" s="141"/>
      <c r="E177" s="25">
        <v>12</v>
      </c>
      <c r="F177" s="25"/>
      <c r="G177" s="25"/>
      <c r="H177" s="25"/>
      <c r="I177" s="25"/>
      <c r="J177" s="25"/>
      <c r="K177" s="137">
        <f t="shared" si="82"/>
        <v>12</v>
      </c>
      <c r="L177" s="137"/>
      <c r="M177" s="29">
        <f t="shared" si="83"/>
        <v>1.74</v>
      </c>
      <c r="N177" s="25">
        <f t="shared" si="84"/>
        <v>4.6100000000000003</v>
      </c>
    </row>
    <row r="178" spans="1:14" x14ac:dyDescent="0.35">
      <c r="A178" s="21" t="s">
        <v>140</v>
      </c>
      <c r="B178" s="23">
        <v>690</v>
      </c>
      <c r="C178" s="140" t="s">
        <v>95</v>
      </c>
      <c r="D178" s="141"/>
      <c r="E178" s="25">
        <v>2</v>
      </c>
      <c r="F178" s="25"/>
      <c r="G178" s="25"/>
      <c r="H178" s="25"/>
      <c r="I178" s="25"/>
      <c r="J178" s="25"/>
      <c r="K178" s="137">
        <f t="shared" si="82"/>
        <v>2</v>
      </c>
      <c r="L178" s="137"/>
      <c r="M178" s="29">
        <f t="shared" si="83"/>
        <v>0.28999999999999998</v>
      </c>
      <c r="N178" s="25">
        <f t="shared" si="84"/>
        <v>5.0999999999999996</v>
      </c>
    </row>
    <row r="179" spans="1:14" x14ac:dyDescent="0.35">
      <c r="A179" s="21" t="s">
        <v>141</v>
      </c>
      <c r="B179" s="23">
        <v>627</v>
      </c>
      <c r="C179" s="140" t="s">
        <v>72</v>
      </c>
      <c r="D179" s="141"/>
      <c r="E179" s="25">
        <v>4</v>
      </c>
      <c r="F179" s="25">
        <v>3</v>
      </c>
      <c r="G179" s="25">
        <v>2</v>
      </c>
      <c r="H179" s="25">
        <v>2</v>
      </c>
      <c r="I179" s="25">
        <v>1</v>
      </c>
      <c r="J179" s="25"/>
      <c r="K179" s="137">
        <f t="shared" si="64"/>
        <v>12</v>
      </c>
      <c r="L179" s="137"/>
      <c r="M179" s="29">
        <f t="shared" si="65"/>
        <v>1.91</v>
      </c>
      <c r="N179" s="25">
        <f t="shared" si="66"/>
        <v>7.05</v>
      </c>
    </row>
    <row r="180" spans="1:14" x14ac:dyDescent="0.35">
      <c r="A180" s="21" t="s">
        <v>141</v>
      </c>
      <c r="B180" s="23">
        <v>627</v>
      </c>
      <c r="C180" s="140" t="s">
        <v>69</v>
      </c>
      <c r="D180" s="141"/>
      <c r="E180" s="25">
        <v>15</v>
      </c>
      <c r="F180" s="25"/>
      <c r="G180" s="25"/>
      <c r="H180" s="25"/>
      <c r="I180" s="25"/>
      <c r="J180" s="25"/>
      <c r="K180" s="137">
        <f t="shared" ref="K180" si="85">IF(SUM(E180:J180)=0,"",SUM(E180:J180))</f>
        <v>15</v>
      </c>
      <c r="L180" s="137"/>
      <c r="M180" s="29">
        <f t="shared" ref="M180" si="86">ROUND((K180/B180)*100,2)</f>
        <v>2.39</v>
      </c>
      <c r="N180" s="25">
        <f t="shared" ref="N180" si="87">IFERROR(IF(M180&lt;0.1,0,ROUND(VLOOKUP(C180,DVtable,2,FALSE)*(LOG(M180))^6+VLOOKUP(C180,DVtable,3,FALSE)*(LOG(M180))^5+VLOOKUP(C180,DVtable,4,FALSE)*(LOG(M180))^4+VLOOKUP(C180,DVtable,5,FALSE)*(LOG(M180))^3+VLOOKUP(C180,DVtable,6,FALSE)*(LOG(M180))^2+VLOOKUP(C180,DVtable,7,FALSE)*(LOG(M180))+VLOOKUP(C180,DVtable,8,FALSE),2)),0)</f>
        <v>4.58</v>
      </c>
    </row>
    <row r="181" spans="1:14" x14ac:dyDescent="0.35">
      <c r="A181" s="21" t="s">
        <v>142</v>
      </c>
      <c r="B181" s="23">
        <v>621</v>
      </c>
      <c r="C181" s="140" t="s">
        <v>72</v>
      </c>
      <c r="D181" s="141"/>
      <c r="E181" s="25">
        <v>3.6</v>
      </c>
      <c r="F181" s="25">
        <v>4.5</v>
      </c>
      <c r="G181" s="25">
        <v>2.6</v>
      </c>
      <c r="H181" s="25"/>
      <c r="I181" s="25"/>
      <c r="J181" s="25"/>
      <c r="K181" s="137">
        <f t="shared" si="64"/>
        <v>10.7</v>
      </c>
      <c r="L181" s="137"/>
      <c r="M181" s="29">
        <f t="shared" si="65"/>
        <v>1.72</v>
      </c>
      <c r="N181" s="25">
        <f t="shared" si="66"/>
        <v>6.57</v>
      </c>
    </row>
    <row r="182" spans="1:14" x14ac:dyDescent="0.35">
      <c r="A182" s="21" t="s">
        <v>142</v>
      </c>
      <c r="B182" s="23">
        <v>621</v>
      </c>
      <c r="C182" s="140">
        <v>11</v>
      </c>
      <c r="D182" s="141"/>
      <c r="E182" s="25">
        <v>20</v>
      </c>
      <c r="F182" s="25"/>
      <c r="G182" s="25"/>
      <c r="H182" s="25"/>
      <c r="I182" s="25"/>
      <c r="J182" s="25"/>
      <c r="K182" s="137">
        <f t="shared" ref="K182:K184" si="88">IF(SUM(E182:J182)=0,"",SUM(E182:J182))</f>
        <v>20</v>
      </c>
      <c r="L182" s="137"/>
      <c r="M182" s="29">
        <f t="shared" ref="M182:M184" si="89">ROUND((K182/B182)*100,2)</f>
        <v>3.22</v>
      </c>
      <c r="N182" s="25">
        <f t="shared" ref="N182:N184" si="90">IFERROR(IF(M182&lt;0.1,0,ROUND(VLOOKUP(C182,DVtable,2,FALSE)*(LOG(M182))^6+VLOOKUP(C182,DVtable,3,FALSE)*(LOG(M182))^5+VLOOKUP(C182,DVtable,4,FALSE)*(LOG(M182))^4+VLOOKUP(C182,DVtable,5,FALSE)*(LOG(M182))^3+VLOOKUP(C182,DVtable,6,FALSE)*(LOG(M182))^2+VLOOKUP(C182,DVtable,7,FALSE)*(LOG(M182))+VLOOKUP(C182,DVtable,8,FALSE),2)),0)</f>
        <v>7.55</v>
      </c>
    </row>
    <row r="183" spans="1:14" x14ac:dyDescent="0.35">
      <c r="A183" s="21" t="s">
        <v>142</v>
      </c>
      <c r="B183" s="23">
        <v>621</v>
      </c>
      <c r="C183" s="140" t="s">
        <v>69</v>
      </c>
      <c r="D183" s="141"/>
      <c r="E183" s="25">
        <v>20</v>
      </c>
      <c r="F183" s="25"/>
      <c r="G183" s="25"/>
      <c r="H183" s="25"/>
      <c r="I183" s="25"/>
      <c r="J183" s="25"/>
      <c r="K183" s="137">
        <f t="shared" si="88"/>
        <v>20</v>
      </c>
      <c r="L183" s="137"/>
      <c r="M183" s="29">
        <f t="shared" si="89"/>
        <v>3.22</v>
      </c>
      <c r="N183" s="25">
        <f t="shared" si="90"/>
        <v>5.41</v>
      </c>
    </row>
    <row r="184" spans="1:14" x14ac:dyDescent="0.35">
      <c r="A184" s="21" t="s">
        <v>142</v>
      </c>
      <c r="B184" s="23">
        <v>621</v>
      </c>
      <c r="C184" s="140" t="s">
        <v>73</v>
      </c>
      <c r="D184" s="141"/>
      <c r="E184" s="25">
        <v>4</v>
      </c>
      <c r="F184" s="25"/>
      <c r="G184" s="25"/>
      <c r="H184" s="25"/>
      <c r="I184" s="25"/>
      <c r="J184" s="25"/>
      <c r="K184" s="137">
        <f t="shared" si="88"/>
        <v>4</v>
      </c>
      <c r="L184" s="137"/>
      <c r="M184" s="29">
        <f t="shared" si="89"/>
        <v>0.64</v>
      </c>
      <c r="N184" s="25">
        <f t="shared" si="90"/>
        <v>7.04</v>
      </c>
    </row>
    <row r="185" spans="1:14" x14ac:dyDescent="0.35">
      <c r="A185" s="21" t="s">
        <v>143</v>
      </c>
      <c r="B185" s="23">
        <v>690</v>
      </c>
      <c r="C185" s="140" t="s">
        <v>72</v>
      </c>
      <c r="D185" s="141"/>
      <c r="E185" s="25">
        <v>3</v>
      </c>
      <c r="F185" s="25">
        <v>10</v>
      </c>
      <c r="G185" s="25"/>
      <c r="H185" s="25"/>
      <c r="I185" s="25"/>
      <c r="J185" s="25"/>
      <c r="K185" s="137">
        <f t="shared" si="64"/>
        <v>13</v>
      </c>
      <c r="L185" s="137"/>
      <c r="M185" s="29">
        <f t="shared" si="65"/>
        <v>1.88</v>
      </c>
      <c r="N185" s="25">
        <f t="shared" si="66"/>
        <v>6.97</v>
      </c>
    </row>
    <row r="186" spans="1:14" x14ac:dyDescent="0.35">
      <c r="A186" s="21" t="s">
        <v>143</v>
      </c>
      <c r="B186" s="23">
        <v>690</v>
      </c>
      <c r="C186" s="140" t="s">
        <v>75</v>
      </c>
      <c r="D186" s="141"/>
      <c r="E186" s="25">
        <v>1</v>
      </c>
      <c r="F186" s="25">
        <v>1</v>
      </c>
      <c r="G186" s="25">
        <v>4.5</v>
      </c>
      <c r="H186" s="25"/>
      <c r="I186" s="25"/>
      <c r="J186" s="25"/>
      <c r="K186" s="137">
        <f t="shared" ref="K186:K188" si="91">IF(SUM(E186:J186)=0,"",SUM(E186:J186))</f>
        <v>6.5</v>
      </c>
      <c r="L186" s="137"/>
      <c r="M186" s="29">
        <f t="shared" ref="M186:M188" si="92">ROUND((K186/B186)*100,2)</f>
        <v>0.94</v>
      </c>
      <c r="N186" s="25">
        <f t="shared" ref="N186:N188" si="93">IFERROR(IF(M186&lt;0.1,0,ROUND(VLOOKUP(C186,DVtable,2,FALSE)*(LOG(M186))^6+VLOOKUP(C186,DVtable,3,FALSE)*(LOG(M186))^5+VLOOKUP(C186,DVtable,4,FALSE)*(LOG(M186))^4+VLOOKUP(C186,DVtable,5,FALSE)*(LOG(M186))^3+VLOOKUP(C186,DVtable,6,FALSE)*(LOG(M186))^2+VLOOKUP(C186,DVtable,7,FALSE)*(LOG(M186))+VLOOKUP(C186,DVtable,8,FALSE),2)),0)</f>
        <v>10.65</v>
      </c>
    </row>
    <row r="187" spans="1:14" x14ac:dyDescent="0.35">
      <c r="A187" s="21" t="s">
        <v>143</v>
      </c>
      <c r="B187" s="23">
        <v>690</v>
      </c>
      <c r="C187" s="140">
        <v>11</v>
      </c>
      <c r="D187" s="141"/>
      <c r="E187" s="25">
        <v>15</v>
      </c>
      <c r="F187" s="25"/>
      <c r="G187" s="25"/>
      <c r="H187" s="25"/>
      <c r="I187" s="25"/>
      <c r="J187" s="25"/>
      <c r="K187" s="137">
        <f t="shared" si="91"/>
        <v>15</v>
      </c>
      <c r="L187" s="137"/>
      <c r="M187" s="29">
        <f t="shared" si="92"/>
        <v>2.17</v>
      </c>
      <c r="N187" s="25">
        <f t="shared" si="93"/>
        <v>5.51</v>
      </c>
    </row>
    <row r="188" spans="1:14" x14ac:dyDescent="0.35">
      <c r="A188" s="21" t="s">
        <v>143</v>
      </c>
      <c r="B188" s="23">
        <v>690</v>
      </c>
      <c r="C188" s="140" t="s">
        <v>73</v>
      </c>
      <c r="D188" s="141"/>
      <c r="E188" s="25">
        <v>20</v>
      </c>
      <c r="F188" s="25"/>
      <c r="G188" s="25"/>
      <c r="H188" s="25"/>
      <c r="I188" s="25"/>
      <c r="J188" s="25"/>
      <c r="K188" s="137">
        <f t="shared" si="91"/>
        <v>20</v>
      </c>
      <c r="L188" s="137"/>
      <c r="M188" s="29">
        <f t="shared" si="92"/>
        <v>2.9</v>
      </c>
      <c r="N188" s="25">
        <f t="shared" si="93"/>
        <v>12.65</v>
      </c>
    </row>
    <row r="189" spans="1:14" ht="18.600000000000001" customHeight="1" x14ac:dyDescent="0.35">
      <c r="A189" s="21" t="s">
        <v>144</v>
      </c>
      <c r="B189" s="23">
        <v>627</v>
      </c>
      <c r="C189" s="140" t="s">
        <v>72</v>
      </c>
      <c r="D189" s="141"/>
      <c r="E189" s="25">
        <v>5</v>
      </c>
      <c r="F189" s="25">
        <v>5</v>
      </c>
      <c r="G189" s="25">
        <v>5</v>
      </c>
      <c r="H189" s="25"/>
      <c r="I189" s="25"/>
      <c r="J189" s="25"/>
      <c r="K189" s="137">
        <f t="shared" si="64"/>
        <v>15</v>
      </c>
      <c r="L189" s="137"/>
      <c r="M189" s="29">
        <f t="shared" si="65"/>
        <v>2.39</v>
      </c>
      <c r="N189" s="25">
        <f t="shared" si="66"/>
        <v>8.2899999999999991</v>
      </c>
    </row>
    <row r="190" spans="1:14" ht="18.600000000000001" customHeight="1" x14ac:dyDescent="0.35">
      <c r="A190" s="21" t="s">
        <v>144</v>
      </c>
      <c r="B190" s="23">
        <v>627</v>
      </c>
      <c r="C190" s="140" t="s">
        <v>75</v>
      </c>
      <c r="D190" s="141"/>
      <c r="E190" s="25">
        <v>6</v>
      </c>
      <c r="F190" s="25">
        <v>1</v>
      </c>
      <c r="G190" s="25"/>
      <c r="H190" s="25"/>
      <c r="I190" s="25"/>
      <c r="J190" s="25"/>
      <c r="K190" s="137">
        <f t="shared" ref="K190" si="94">IF(SUM(E190:J190)=0,"",SUM(E190:J190))</f>
        <v>7</v>
      </c>
      <c r="L190" s="137"/>
      <c r="M190" s="29">
        <f t="shared" ref="M190" si="95">ROUND((K190/B190)*100,2)</f>
        <v>1.1200000000000001</v>
      </c>
      <c r="N190" s="25">
        <f t="shared" ref="N190" si="96">IFERROR(IF(M190&lt;0.1,0,ROUND(VLOOKUP(C190,DVtable,2,FALSE)*(LOG(M190))^6+VLOOKUP(C190,DVtable,3,FALSE)*(LOG(M190))^5+VLOOKUP(C190,DVtable,4,FALSE)*(LOG(M190))^4+VLOOKUP(C190,DVtable,5,FALSE)*(LOG(M190))^3+VLOOKUP(C190,DVtable,6,FALSE)*(LOG(M190))^2+VLOOKUP(C190,DVtable,7,FALSE)*(LOG(M190))+VLOOKUP(C190,DVtable,8,FALSE),2)),0)</f>
        <v>11.57</v>
      </c>
    </row>
    <row r="191" spans="1:14" ht="18.600000000000001" customHeight="1" x14ac:dyDescent="0.35">
      <c r="A191" s="21" t="s">
        <v>144</v>
      </c>
      <c r="B191" s="23">
        <v>627</v>
      </c>
      <c r="C191" s="140">
        <v>11</v>
      </c>
      <c r="D191" s="141"/>
      <c r="E191" s="25">
        <v>14</v>
      </c>
      <c r="F191" s="25"/>
      <c r="G191" s="25"/>
      <c r="H191" s="25"/>
      <c r="I191" s="25"/>
      <c r="J191" s="25"/>
      <c r="K191" s="137">
        <f t="shared" ref="K191:K193" si="97">IF(SUM(E191:J191)=0,"",SUM(E191:J191))</f>
        <v>14</v>
      </c>
      <c r="L191" s="137"/>
      <c r="M191" s="29">
        <f t="shared" ref="M191:M193" si="98">ROUND((K191/B191)*100,2)</f>
        <v>2.23</v>
      </c>
      <c r="N191" s="25">
        <f t="shared" ref="N191:N193" si="99">IFERROR(IF(M191&lt;0.1,0,ROUND(VLOOKUP(C191,DVtable,2,FALSE)*(LOG(M191))^6+VLOOKUP(C191,DVtable,3,FALSE)*(LOG(M191))^5+VLOOKUP(C191,DVtable,4,FALSE)*(LOG(M191))^4+VLOOKUP(C191,DVtable,5,FALSE)*(LOG(M191))^3+VLOOKUP(C191,DVtable,6,FALSE)*(LOG(M191))^2+VLOOKUP(C191,DVtable,7,FALSE)*(LOG(M191))+VLOOKUP(C191,DVtable,8,FALSE),2)),0)</f>
        <v>5.63</v>
      </c>
    </row>
    <row r="192" spans="1:14" ht="18.600000000000001" customHeight="1" x14ac:dyDescent="0.35">
      <c r="A192" s="21" t="s">
        <v>144</v>
      </c>
      <c r="B192" s="23">
        <v>627</v>
      </c>
      <c r="C192" s="140" t="s">
        <v>69</v>
      </c>
      <c r="D192" s="141"/>
      <c r="E192" s="25">
        <v>5</v>
      </c>
      <c r="F192" s="25">
        <v>10</v>
      </c>
      <c r="G192" s="25">
        <v>5</v>
      </c>
      <c r="H192" s="25"/>
      <c r="I192" s="25"/>
      <c r="J192" s="25"/>
      <c r="K192" s="137">
        <f t="shared" ref="K192" si="100">IF(SUM(E192:J192)=0,"",SUM(E192:J192))</f>
        <v>20</v>
      </c>
      <c r="L192" s="137"/>
      <c r="M192" s="29">
        <f t="shared" ref="M192" si="101">ROUND((K192/B192)*100,2)</f>
        <v>3.19</v>
      </c>
      <c r="N192" s="25">
        <f t="shared" ref="N192" si="102">IFERROR(IF(M192&lt;0.1,0,ROUND(VLOOKUP(C192,DVtable,2,FALSE)*(LOG(M192))^6+VLOOKUP(C192,DVtable,3,FALSE)*(LOG(M192))^5+VLOOKUP(C192,DVtable,4,FALSE)*(LOG(M192))^4+VLOOKUP(C192,DVtable,5,FALSE)*(LOG(M192))^3+VLOOKUP(C192,DVtable,6,FALSE)*(LOG(M192))^2+VLOOKUP(C192,DVtable,7,FALSE)*(LOG(M192))+VLOOKUP(C192,DVtable,8,FALSE),2)),0)</f>
        <v>5.38</v>
      </c>
    </row>
    <row r="193" spans="1:14" ht="18.600000000000001" customHeight="1" x14ac:dyDescent="0.35">
      <c r="A193" s="21" t="s">
        <v>144</v>
      </c>
      <c r="B193" s="23">
        <v>627</v>
      </c>
      <c r="C193" s="140" t="s">
        <v>73</v>
      </c>
      <c r="D193" s="141"/>
      <c r="E193" s="25">
        <v>16</v>
      </c>
      <c r="F193" s="25"/>
      <c r="G193" s="25"/>
      <c r="H193" s="25"/>
      <c r="I193" s="25"/>
      <c r="J193" s="25"/>
      <c r="K193" s="137">
        <f t="shared" si="97"/>
        <v>16</v>
      </c>
      <c r="L193" s="137"/>
      <c r="M193" s="29">
        <f t="shared" si="98"/>
        <v>2.5499999999999998</v>
      </c>
      <c r="N193" s="25">
        <f t="shared" si="99"/>
        <v>12.06</v>
      </c>
    </row>
    <row r="194" spans="1:14" x14ac:dyDescent="0.35">
      <c r="A194" s="21" t="s">
        <v>145</v>
      </c>
      <c r="B194" s="23">
        <v>621</v>
      </c>
      <c r="C194" s="140" t="s">
        <v>72</v>
      </c>
      <c r="D194" s="141"/>
      <c r="E194" s="25">
        <v>2.4</v>
      </c>
      <c r="F194" s="25">
        <v>4.5999999999999996</v>
      </c>
      <c r="G194" s="25"/>
      <c r="H194" s="25"/>
      <c r="I194" s="25"/>
      <c r="J194" s="25"/>
      <c r="K194" s="137">
        <f t="shared" si="64"/>
        <v>7</v>
      </c>
      <c r="L194" s="137"/>
      <c r="M194" s="29">
        <f t="shared" si="65"/>
        <v>1.1299999999999999</v>
      </c>
      <c r="N194" s="25">
        <f t="shared" si="66"/>
        <v>5.19</v>
      </c>
    </row>
    <row r="195" spans="1:14" x14ac:dyDescent="0.35">
      <c r="A195" s="21" t="s">
        <v>145</v>
      </c>
      <c r="B195" s="23">
        <v>621</v>
      </c>
      <c r="C195" s="140">
        <v>11</v>
      </c>
      <c r="D195" s="141"/>
      <c r="E195" s="25">
        <v>12</v>
      </c>
      <c r="F195" s="25"/>
      <c r="G195" s="25"/>
      <c r="H195" s="25"/>
      <c r="I195" s="25"/>
      <c r="J195" s="25"/>
      <c r="K195" s="137">
        <f t="shared" ref="K195:K197" si="103">IF(SUM(E195:J195)=0,"",SUM(E195:J195))</f>
        <v>12</v>
      </c>
      <c r="L195" s="137"/>
      <c r="M195" s="29">
        <f t="shared" ref="M195:M197" si="104">ROUND((K195/B195)*100,2)</f>
        <v>1.93</v>
      </c>
      <c r="N195" s="25">
        <f t="shared" ref="N195:N197" si="105">IFERROR(IF(M195&lt;0.1,0,ROUND(VLOOKUP(C195,DVtable,2,FALSE)*(LOG(M195))^6+VLOOKUP(C195,DVtable,3,FALSE)*(LOG(M195))^5+VLOOKUP(C195,DVtable,4,FALSE)*(LOG(M195))^4+VLOOKUP(C195,DVtable,5,FALSE)*(LOG(M195))^3+VLOOKUP(C195,DVtable,6,FALSE)*(LOG(M195))^2+VLOOKUP(C195,DVtable,7,FALSE)*(LOG(M195))+VLOOKUP(C195,DVtable,8,FALSE),2)),0)</f>
        <v>5.01</v>
      </c>
    </row>
    <row r="196" spans="1:14" x14ac:dyDescent="0.35">
      <c r="A196" s="21" t="s">
        <v>145</v>
      </c>
      <c r="B196" s="23">
        <v>621</v>
      </c>
      <c r="C196" s="140" t="s">
        <v>69</v>
      </c>
      <c r="D196" s="141"/>
      <c r="E196" s="25">
        <v>30</v>
      </c>
      <c r="F196" s="25"/>
      <c r="G196" s="25"/>
      <c r="H196" s="25"/>
      <c r="I196" s="25"/>
      <c r="J196" s="25"/>
      <c r="K196" s="137">
        <f t="shared" si="103"/>
        <v>30</v>
      </c>
      <c r="L196" s="137"/>
      <c r="M196" s="29">
        <f t="shared" si="104"/>
        <v>4.83</v>
      </c>
      <c r="N196" s="25">
        <f t="shared" si="105"/>
        <v>6.77</v>
      </c>
    </row>
    <row r="197" spans="1:14" x14ac:dyDescent="0.35">
      <c r="A197" s="21" t="s">
        <v>145</v>
      </c>
      <c r="B197" s="23">
        <v>621</v>
      </c>
      <c r="C197" s="140" t="s">
        <v>30</v>
      </c>
      <c r="D197" s="141"/>
      <c r="E197" s="25">
        <v>8</v>
      </c>
      <c r="F197" s="25"/>
      <c r="G197" s="25"/>
      <c r="H197" s="25"/>
      <c r="I197" s="25"/>
      <c r="J197" s="25"/>
      <c r="K197" s="137">
        <f t="shared" si="103"/>
        <v>8</v>
      </c>
      <c r="L197" s="137"/>
      <c r="M197" s="29">
        <f t="shared" si="104"/>
        <v>1.29</v>
      </c>
      <c r="N197" s="25">
        <f t="shared" si="105"/>
        <v>19.95</v>
      </c>
    </row>
    <row r="198" spans="1:14" x14ac:dyDescent="0.35">
      <c r="A198" s="21" t="s">
        <v>146</v>
      </c>
      <c r="B198" s="23">
        <v>690</v>
      </c>
      <c r="C198" s="140" t="s">
        <v>75</v>
      </c>
      <c r="D198" s="141"/>
      <c r="E198" s="25">
        <v>2</v>
      </c>
      <c r="F198" s="25">
        <v>4</v>
      </c>
      <c r="G198" s="25">
        <v>8</v>
      </c>
      <c r="H198" s="25"/>
      <c r="I198" s="25"/>
      <c r="J198" s="25"/>
      <c r="K198" s="137">
        <f t="shared" ref="K198:K200" si="106">IF(SUM(E198:J198)=0,"",SUM(E198:J198))</f>
        <v>14</v>
      </c>
      <c r="L198" s="137"/>
      <c r="M198" s="29">
        <f t="shared" ref="M198:M200" si="107">ROUND((K198/B198)*100,2)</f>
        <v>2.0299999999999998</v>
      </c>
      <c r="N198" s="25">
        <f t="shared" ref="N198:N200" si="108">IFERROR(IF(M198&lt;0.1,0,ROUND(VLOOKUP(C198,DVtable,2,FALSE)*(LOG(M198))^6+VLOOKUP(C198,DVtable,3,FALSE)*(LOG(M198))^5+VLOOKUP(C198,DVtable,4,FALSE)*(LOG(M198))^4+VLOOKUP(C198,DVtable,5,FALSE)*(LOG(M198))^3+VLOOKUP(C198,DVtable,6,FALSE)*(LOG(M198))^2+VLOOKUP(C198,DVtable,7,FALSE)*(LOG(M198))+VLOOKUP(C198,DVtable,8,FALSE),2)),0)</f>
        <v>15.52</v>
      </c>
    </row>
    <row r="199" spans="1:14" x14ac:dyDescent="0.35">
      <c r="A199" s="21" t="s">
        <v>146</v>
      </c>
      <c r="B199" s="23">
        <v>690</v>
      </c>
      <c r="C199" s="140">
        <v>11</v>
      </c>
      <c r="D199" s="141"/>
      <c r="E199" s="25">
        <v>10</v>
      </c>
      <c r="F199" s="25">
        <v>8</v>
      </c>
      <c r="G199" s="25"/>
      <c r="H199" s="25"/>
      <c r="I199" s="25"/>
      <c r="J199" s="25"/>
      <c r="K199" s="137">
        <f t="shared" si="106"/>
        <v>18</v>
      </c>
      <c r="L199" s="137"/>
      <c r="M199" s="29">
        <f t="shared" si="107"/>
        <v>2.61</v>
      </c>
      <c r="N199" s="25">
        <f t="shared" si="108"/>
        <v>6.39</v>
      </c>
    </row>
    <row r="200" spans="1:14" x14ac:dyDescent="0.35">
      <c r="A200" s="21" t="s">
        <v>146</v>
      </c>
      <c r="B200" s="23">
        <v>690</v>
      </c>
      <c r="C200" s="140" t="s">
        <v>69</v>
      </c>
      <c r="D200" s="141"/>
      <c r="E200" s="25">
        <v>8</v>
      </c>
      <c r="F200" s="25">
        <v>4</v>
      </c>
      <c r="G200" s="25">
        <v>8.9</v>
      </c>
      <c r="H200" s="25"/>
      <c r="I200" s="25"/>
      <c r="J200" s="25"/>
      <c r="K200" s="137">
        <f t="shared" si="106"/>
        <v>20.9</v>
      </c>
      <c r="L200" s="137"/>
      <c r="M200" s="29">
        <f t="shared" si="107"/>
        <v>3.03</v>
      </c>
      <c r="N200" s="25">
        <f t="shared" si="108"/>
        <v>5.23</v>
      </c>
    </row>
    <row r="201" spans="1:14" x14ac:dyDescent="0.35">
      <c r="A201" s="21" t="s">
        <v>147</v>
      </c>
      <c r="B201" s="23">
        <v>627</v>
      </c>
      <c r="C201" s="140" t="s">
        <v>72</v>
      </c>
      <c r="D201" s="141"/>
      <c r="E201" s="25">
        <v>2</v>
      </c>
      <c r="F201" s="25">
        <v>2</v>
      </c>
      <c r="G201" s="25">
        <v>2</v>
      </c>
      <c r="H201" s="25">
        <v>1</v>
      </c>
      <c r="I201" s="25"/>
      <c r="J201" s="25"/>
      <c r="K201" s="137">
        <f t="shared" si="64"/>
        <v>7</v>
      </c>
      <c r="L201" s="137"/>
      <c r="M201" s="29">
        <f t="shared" si="65"/>
        <v>1.1200000000000001</v>
      </c>
      <c r="N201" s="25">
        <f t="shared" si="66"/>
        <v>5.16</v>
      </c>
    </row>
    <row r="202" spans="1:14" x14ac:dyDescent="0.35">
      <c r="A202" s="21" t="s">
        <v>147</v>
      </c>
      <c r="B202" s="23">
        <v>627</v>
      </c>
      <c r="C202" s="140" t="s">
        <v>69</v>
      </c>
      <c r="D202" s="141"/>
      <c r="E202" s="25">
        <v>1</v>
      </c>
      <c r="F202" s="25">
        <v>1</v>
      </c>
      <c r="G202" s="25">
        <v>2.5</v>
      </c>
      <c r="H202" s="25">
        <f>2.1*3.2</f>
        <v>6.7200000000000006</v>
      </c>
      <c r="I202" s="25"/>
      <c r="J202" s="25"/>
      <c r="K202" s="137">
        <f t="shared" ref="K202" si="109">IF(SUM(E202:J202)=0,"",SUM(E202:J202))</f>
        <v>11.22</v>
      </c>
      <c r="L202" s="137"/>
      <c r="M202" s="29">
        <f t="shared" ref="M202" si="110">ROUND((K202/B202)*100,2)</f>
        <v>1.79</v>
      </c>
      <c r="N202" s="25">
        <f t="shared" ref="N202" si="111">IFERROR(IF(M202&lt;0.1,0,ROUND(VLOOKUP(C202,DVtable,2,FALSE)*(LOG(M202))^6+VLOOKUP(C202,DVtable,3,FALSE)*(LOG(M202))^5+VLOOKUP(C202,DVtable,4,FALSE)*(LOG(M202))^4+VLOOKUP(C202,DVtable,5,FALSE)*(LOG(M202))^3+VLOOKUP(C202,DVtable,6,FALSE)*(LOG(M202))^2+VLOOKUP(C202,DVtable,7,FALSE)*(LOG(M202))+VLOOKUP(C202,DVtable,8,FALSE),2)),0)</f>
        <v>3.92</v>
      </c>
    </row>
    <row r="203" spans="1:14" x14ac:dyDescent="0.35">
      <c r="A203" s="21" t="s">
        <v>148</v>
      </c>
      <c r="B203" s="23">
        <v>621</v>
      </c>
      <c r="C203" s="140">
        <v>11</v>
      </c>
      <c r="D203" s="141"/>
      <c r="E203" s="25">
        <v>4</v>
      </c>
      <c r="F203" s="25">
        <v>4</v>
      </c>
      <c r="G203" s="25">
        <v>10</v>
      </c>
      <c r="H203" s="25"/>
      <c r="I203" s="25"/>
      <c r="J203" s="25"/>
      <c r="K203" s="137">
        <f t="shared" si="64"/>
        <v>18</v>
      </c>
      <c r="L203" s="137"/>
      <c r="M203" s="29">
        <f t="shared" si="65"/>
        <v>2.9</v>
      </c>
      <c r="N203" s="25">
        <f t="shared" si="66"/>
        <v>6.95</v>
      </c>
    </row>
    <row r="204" spans="1:14" x14ac:dyDescent="0.35">
      <c r="A204" s="21" t="s">
        <v>148</v>
      </c>
      <c r="B204" s="23">
        <v>621</v>
      </c>
      <c r="C204" s="140" t="s">
        <v>30</v>
      </c>
      <c r="D204" s="141"/>
      <c r="E204" s="25">
        <v>5</v>
      </c>
      <c r="F204" s="25">
        <v>3</v>
      </c>
      <c r="G204" s="25"/>
      <c r="H204" s="25"/>
      <c r="I204" s="25"/>
      <c r="J204" s="25"/>
      <c r="K204" s="137">
        <f t="shared" ref="K204" si="112">IF(SUM(E204:J204)=0,"",SUM(E204:J204))</f>
        <v>8</v>
      </c>
      <c r="L204" s="137"/>
      <c r="M204" s="29">
        <f t="shared" ref="M204" si="113">ROUND((K204/B204)*100,2)</f>
        <v>1.29</v>
      </c>
      <c r="N204" s="25">
        <f t="shared" ref="N204" si="114">IFERROR(IF(M204&lt;0.1,0,ROUND(VLOOKUP(C204,DVtable,2,FALSE)*(LOG(M204))^6+VLOOKUP(C204,DVtable,3,FALSE)*(LOG(M204))^5+VLOOKUP(C204,DVtable,4,FALSE)*(LOG(M204))^4+VLOOKUP(C204,DVtable,5,FALSE)*(LOG(M204))^3+VLOOKUP(C204,DVtable,6,FALSE)*(LOG(M204))^2+VLOOKUP(C204,DVtable,7,FALSE)*(LOG(M204))+VLOOKUP(C204,DVtable,8,FALSE),2)),0)</f>
        <v>19.95</v>
      </c>
    </row>
    <row r="205" spans="1:14" x14ac:dyDescent="0.35">
      <c r="A205" s="21" t="s">
        <v>149</v>
      </c>
      <c r="B205" s="23">
        <v>690</v>
      </c>
      <c r="C205" s="140">
        <v>11</v>
      </c>
      <c r="D205" s="141"/>
      <c r="E205" s="25">
        <v>5</v>
      </c>
      <c r="F205" s="25">
        <v>5</v>
      </c>
      <c r="G205" s="25"/>
      <c r="H205" s="25"/>
      <c r="I205" s="25"/>
      <c r="J205" s="25"/>
      <c r="K205" s="137">
        <f t="shared" ref="K205" si="115">IF(SUM(E205:J205)=0,"",SUM(E205:J205))</f>
        <v>10</v>
      </c>
      <c r="L205" s="137"/>
      <c r="M205" s="29">
        <f t="shared" ref="M205" si="116">ROUND((K205/B205)*100,2)</f>
        <v>1.45</v>
      </c>
      <c r="N205" s="25">
        <f t="shared" ref="N205" si="117">IFERROR(IF(M205&lt;0.1,0,ROUND(VLOOKUP(C205,DVtable,2,FALSE)*(LOG(M205))^6+VLOOKUP(C205,DVtable,3,FALSE)*(LOG(M205))^5+VLOOKUP(C205,DVtable,4,FALSE)*(LOG(M205))^4+VLOOKUP(C205,DVtable,5,FALSE)*(LOG(M205))^3+VLOOKUP(C205,DVtable,6,FALSE)*(LOG(M205))^2+VLOOKUP(C205,DVtable,7,FALSE)*(LOG(M205))+VLOOKUP(C205,DVtable,8,FALSE),2)),0)</f>
        <v>3.97</v>
      </c>
    </row>
    <row r="206" spans="1:14" x14ac:dyDescent="0.35">
      <c r="A206" s="21" t="s">
        <v>150</v>
      </c>
      <c r="B206" s="23">
        <v>627</v>
      </c>
      <c r="C206" s="140" t="s">
        <v>83</v>
      </c>
      <c r="D206" s="141"/>
      <c r="E206" s="25">
        <v>3.2</v>
      </c>
      <c r="F206" s="25">
        <v>2.1</v>
      </c>
      <c r="G206" s="25"/>
      <c r="H206" s="25"/>
      <c r="I206" s="25"/>
      <c r="J206" s="25"/>
      <c r="K206" s="137">
        <f t="shared" si="64"/>
        <v>5.3000000000000007</v>
      </c>
      <c r="L206" s="137"/>
      <c r="M206" s="29">
        <f t="shared" si="65"/>
        <v>0.85</v>
      </c>
      <c r="N206" s="25">
        <f t="shared" si="66"/>
        <v>4.9400000000000004</v>
      </c>
    </row>
    <row r="207" spans="1:14" x14ac:dyDescent="0.35">
      <c r="A207" s="21" t="s">
        <v>150</v>
      </c>
      <c r="B207" s="23">
        <v>627</v>
      </c>
      <c r="C207" s="140" t="s">
        <v>72</v>
      </c>
      <c r="D207" s="141"/>
      <c r="E207" s="25">
        <v>10</v>
      </c>
      <c r="F207" s="25">
        <v>5</v>
      </c>
      <c r="G207" s="25">
        <v>0.8</v>
      </c>
      <c r="H207" s="25">
        <v>1</v>
      </c>
      <c r="I207" s="25">
        <v>1</v>
      </c>
      <c r="J207" s="25"/>
      <c r="K207" s="137">
        <f t="shared" ref="K207:K209" si="118">IF(SUM(E207:J207)=0,"",SUM(E207:J207))</f>
        <v>17.8</v>
      </c>
      <c r="L207" s="137"/>
      <c r="M207" s="29">
        <f t="shared" ref="M207:M209" si="119">ROUND((K207/B207)*100,2)</f>
        <v>2.84</v>
      </c>
      <c r="N207" s="25">
        <f t="shared" ref="N207:N209" si="120">IFERROR(IF(M207&lt;0.1,0,ROUND(VLOOKUP(C207,DVtable,2,FALSE)*(LOG(M207))^6+VLOOKUP(C207,DVtable,3,FALSE)*(LOG(M207))^5+VLOOKUP(C207,DVtable,4,FALSE)*(LOG(M207))^4+VLOOKUP(C207,DVtable,5,FALSE)*(LOG(M207))^3+VLOOKUP(C207,DVtable,6,FALSE)*(LOG(M207))^2+VLOOKUP(C207,DVtable,7,FALSE)*(LOG(M207))+VLOOKUP(C207,DVtable,8,FALSE),2)),0)</f>
        <v>9.4499999999999993</v>
      </c>
    </row>
    <row r="208" spans="1:14" x14ac:dyDescent="0.35">
      <c r="A208" s="21" t="s">
        <v>150</v>
      </c>
      <c r="B208" s="23">
        <v>627</v>
      </c>
      <c r="C208" s="140">
        <v>11</v>
      </c>
      <c r="D208" s="141"/>
      <c r="E208" s="25">
        <v>18</v>
      </c>
      <c r="F208" s="25"/>
      <c r="G208" s="25"/>
      <c r="H208" s="25"/>
      <c r="I208" s="25"/>
      <c r="J208" s="25"/>
      <c r="K208" s="137">
        <f t="shared" si="118"/>
        <v>18</v>
      </c>
      <c r="L208" s="137"/>
      <c r="M208" s="29">
        <f t="shared" si="119"/>
        <v>2.87</v>
      </c>
      <c r="N208" s="25">
        <f t="shared" si="120"/>
        <v>6.9</v>
      </c>
    </row>
    <row r="209" spans="1:14" x14ac:dyDescent="0.35">
      <c r="A209" s="21" t="s">
        <v>150</v>
      </c>
      <c r="B209" s="23">
        <v>627</v>
      </c>
      <c r="C209" s="140" t="s">
        <v>69</v>
      </c>
      <c r="D209" s="141"/>
      <c r="E209" s="25">
        <v>20</v>
      </c>
      <c r="F209" s="25"/>
      <c r="G209" s="25"/>
      <c r="H209" s="25"/>
      <c r="I209" s="25"/>
      <c r="J209" s="25"/>
      <c r="K209" s="137">
        <f t="shared" si="118"/>
        <v>20</v>
      </c>
      <c r="L209" s="137"/>
      <c r="M209" s="29">
        <f t="shared" si="119"/>
        <v>3.19</v>
      </c>
      <c r="N209" s="25">
        <f t="shared" si="120"/>
        <v>5.38</v>
      </c>
    </row>
    <row r="210" spans="1:14" x14ac:dyDescent="0.35">
      <c r="A210" s="21" t="s">
        <v>151</v>
      </c>
      <c r="B210" s="23">
        <v>621</v>
      </c>
      <c r="C210" s="140" t="s">
        <v>75</v>
      </c>
      <c r="D210" s="141"/>
      <c r="E210" s="25">
        <v>2</v>
      </c>
      <c r="F210" s="25">
        <v>2</v>
      </c>
      <c r="G210" s="25">
        <v>1.2</v>
      </c>
      <c r="H210" s="25"/>
      <c r="I210" s="25"/>
      <c r="J210" s="25"/>
      <c r="K210" s="137">
        <f t="shared" si="64"/>
        <v>5.2</v>
      </c>
      <c r="L210" s="137"/>
      <c r="M210" s="29">
        <f t="shared" si="65"/>
        <v>0.84</v>
      </c>
      <c r="N210" s="25">
        <f t="shared" si="66"/>
        <v>10.1</v>
      </c>
    </row>
    <row r="211" spans="1:14" x14ac:dyDescent="0.35">
      <c r="A211" s="21" t="s">
        <v>151</v>
      </c>
      <c r="B211" s="23">
        <v>621</v>
      </c>
      <c r="C211" s="140">
        <v>11</v>
      </c>
      <c r="D211" s="141"/>
      <c r="E211" s="25">
        <v>5</v>
      </c>
      <c r="F211" s="25">
        <v>5</v>
      </c>
      <c r="G211" s="25">
        <v>3</v>
      </c>
      <c r="H211" s="25">
        <v>4</v>
      </c>
      <c r="I211" s="25"/>
      <c r="J211" s="25"/>
      <c r="K211" s="137">
        <f t="shared" ref="K211:K212" si="121">IF(SUM(E211:J211)=0,"",SUM(E211:J211))</f>
        <v>17</v>
      </c>
      <c r="L211" s="137"/>
      <c r="M211" s="29">
        <f t="shared" ref="M211:M212" si="122">ROUND((K211/B211)*100,2)</f>
        <v>2.74</v>
      </c>
      <c r="N211" s="25">
        <f t="shared" ref="N211:N212" si="123">IFERROR(IF(M211&lt;0.1,0,ROUND(VLOOKUP(C211,DVtable,2,FALSE)*(LOG(M211))^6+VLOOKUP(C211,DVtable,3,FALSE)*(LOG(M211))^5+VLOOKUP(C211,DVtable,4,FALSE)*(LOG(M211))^4+VLOOKUP(C211,DVtable,5,FALSE)*(LOG(M211))^3+VLOOKUP(C211,DVtable,6,FALSE)*(LOG(M211))^2+VLOOKUP(C211,DVtable,7,FALSE)*(LOG(M211))+VLOOKUP(C211,DVtable,8,FALSE),2)),0)</f>
        <v>6.65</v>
      </c>
    </row>
    <row r="212" spans="1:14" x14ac:dyDescent="0.35">
      <c r="A212" s="21" t="s">
        <v>151</v>
      </c>
      <c r="B212" s="23">
        <v>621</v>
      </c>
      <c r="C212" s="140" t="s">
        <v>73</v>
      </c>
      <c r="D212" s="141"/>
      <c r="E212" s="25">
        <v>15</v>
      </c>
      <c r="F212" s="25"/>
      <c r="G212" s="25"/>
      <c r="H212" s="25"/>
      <c r="I212" s="25"/>
      <c r="J212" s="25"/>
      <c r="K212" s="137">
        <f t="shared" si="121"/>
        <v>15</v>
      </c>
      <c r="L212" s="137"/>
      <c r="M212" s="29">
        <f t="shared" si="122"/>
        <v>2.42</v>
      </c>
      <c r="N212" s="25">
        <f t="shared" si="123"/>
        <v>11.83</v>
      </c>
    </row>
    <row r="213" spans="1:14" x14ac:dyDescent="0.35">
      <c r="A213" s="21" t="s">
        <v>152</v>
      </c>
      <c r="B213" s="23">
        <v>690</v>
      </c>
      <c r="C213" s="140" t="s">
        <v>72</v>
      </c>
      <c r="D213" s="141"/>
      <c r="E213" s="25">
        <v>1</v>
      </c>
      <c r="F213" s="25">
        <v>2</v>
      </c>
      <c r="G213" s="25">
        <v>2</v>
      </c>
      <c r="H213" s="25"/>
      <c r="I213" s="25"/>
      <c r="J213" s="25"/>
      <c r="K213" s="137">
        <f t="shared" si="64"/>
        <v>5</v>
      </c>
      <c r="L213" s="137"/>
      <c r="M213" s="29">
        <f t="shared" si="65"/>
        <v>0.72</v>
      </c>
      <c r="N213" s="25">
        <f t="shared" si="66"/>
        <v>4.34</v>
      </c>
    </row>
    <row r="214" spans="1:14" x14ac:dyDescent="0.35">
      <c r="A214" s="21" t="s">
        <v>152</v>
      </c>
      <c r="B214" s="23">
        <v>690</v>
      </c>
      <c r="C214" s="140" t="s">
        <v>69</v>
      </c>
      <c r="D214" s="141"/>
      <c r="E214" s="25">
        <v>2</v>
      </c>
      <c r="F214" s="25"/>
      <c r="G214" s="25"/>
      <c r="H214" s="25"/>
      <c r="I214" s="25"/>
      <c r="J214" s="25"/>
      <c r="K214" s="137">
        <f t="shared" ref="K214:K215" si="124">IF(SUM(E214:J214)=0,"",SUM(E214:J214))</f>
        <v>2</v>
      </c>
      <c r="L214" s="137"/>
      <c r="M214" s="29">
        <f t="shared" ref="M214:M215" si="125">ROUND((K214/B214)*100,2)</f>
        <v>0.28999999999999998</v>
      </c>
      <c r="N214" s="25">
        <f t="shared" ref="N214:N215" si="126">IFERROR(IF(M214&lt;0.1,0,ROUND(VLOOKUP(C214,DVtable,2,FALSE)*(LOG(M214))^6+VLOOKUP(C214,DVtable,3,FALSE)*(LOG(M214))^5+VLOOKUP(C214,DVtable,4,FALSE)*(LOG(M214))^4+VLOOKUP(C214,DVtable,5,FALSE)*(LOG(M214))^3+VLOOKUP(C214,DVtable,6,FALSE)*(LOG(M214))^2+VLOOKUP(C214,DVtable,7,FALSE)*(LOG(M214))+VLOOKUP(C214,DVtable,8,FALSE),2)),0)</f>
        <v>1.73</v>
      </c>
    </row>
    <row r="215" spans="1:14" x14ac:dyDescent="0.35">
      <c r="A215" s="21" t="s">
        <v>152</v>
      </c>
      <c r="B215" s="23">
        <v>690</v>
      </c>
      <c r="C215" s="140">
        <v>11</v>
      </c>
      <c r="D215" s="141"/>
      <c r="E215" s="25">
        <v>3</v>
      </c>
      <c r="F215" s="25"/>
      <c r="G215" s="25"/>
      <c r="H215" s="25"/>
      <c r="I215" s="25"/>
      <c r="J215" s="25"/>
      <c r="K215" s="137">
        <f t="shared" si="124"/>
        <v>3</v>
      </c>
      <c r="L215" s="137"/>
      <c r="M215" s="29">
        <f t="shared" si="125"/>
        <v>0.43</v>
      </c>
      <c r="N215" s="25">
        <f t="shared" si="126"/>
        <v>1.7</v>
      </c>
    </row>
    <row r="216" spans="1:14" x14ac:dyDescent="0.35">
      <c r="A216" s="21" t="s">
        <v>153</v>
      </c>
      <c r="B216" s="23">
        <v>627</v>
      </c>
      <c r="C216" s="140" t="s">
        <v>95</v>
      </c>
      <c r="D216" s="141"/>
      <c r="E216" s="25">
        <v>1</v>
      </c>
      <c r="F216" s="25"/>
      <c r="G216" s="25"/>
      <c r="H216" s="25"/>
      <c r="I216" s="25"/>
      <c r="J216" s="25"/>
      <c r="K216" s="137">
        <f t="shared" si="64"/>
        <v>1</v>
      </c>
      <c r="L216" s="137"/>
      <c r="M216" s="29">
        <f t="shared" si="65"/>
        <v>0.16</v>
      </c>
      <c r="N216" s="25">
        <f t="shared" si="66"/>
        <v>4.62</v>
      </c>
    </row>
    <row r="217" spans="1:14" x14ac:dyDescent="0.35">
      <c r="A217" s="21" t="s">
        <v>153</v>
      </c>
      <c r="B217" s="23">
        <v>627</v>
      </c>
      <c r="C217" s="140" t="s">
        <v>72</v>
      </c>
      <c r="D217" s="141"/>
      <c r="E217" s="25">
        <v>3</v>
      </c>
      <c r="F217" s="25">
        <v>2</v>
      </c>
      <c r="G217" s="25">
        <v>0.5</v>
      </c>
      <c r="H217" s="25">
        <v>0.5</v>
      </c>
      <c r="I217" s="25">
        <v>0.5</v>
      </c>
      <c r="J217" s="25"/>
      <c r="K217" s="137">
        <f t="shared" ref="K217:K219" si="127">IF(SUM(E217:J217)=0,"",SUM(E217:J217))</f>
        <v>6.5</v>
      </c>
      <c r="L217" s="137"/>
      <c r="M217" s="29">
        <f t="shared" ref="M217:M219" si="128">ROUND((K217/B217)*100,2)</f>
        <v>1.04</v>
      </c>
      <c r="N217" s="25">
        <f t="shared" ref="N217:N219" si="129">IFERROR(IF(M217&lt;0.1,0,ROUND(VLOOKUP(C217,DVtable,2,FALSE)*(LOG(M217))^6+VLOOKUP(C217,DVtable,3,FALSE)*(LOG(M217))^5+VLOOKUP(C217,DVtable,4,FALSE)*(LOG(M217))^4+VLOOKUP(C217,DVtable,5,FALSE)*(LOG(M217))^3+VLOOKUP(C217,DVtable,6,FALSE)*(LOG(M217))^2+VLOOKUP(C217,DVtable,7,FALSE)*(LOG(M217))+VLOOKUP(C217,DVtable,8,FALSE),2)),0)</f>
        <v>4.99</v>
      </c>
    </row>
    <row r="218" spans="1:14" x14ac:dyDescent="0.35">
      <c r="A218" s="21" t="s">
        <v>153</v>
      </c>
      <c r="B218" s="23">
        <v>627</v>
      </c>
      <c r="C218" s="140" t="s">
        <v>69</v>
      </c>
      <c r="D218" s="141"/>
      <c r="E218" s="25">
        <v>6</v>
      </c>
      <c r="F218" s="25">
        <v>2.5</v>
      </c>
      <c r="G218" s="25">
        <v>1</v>
      </c>
      <c r="H218" s="25"/>
      <c r="I218" s="25"/>
      <c r="J218" s="25"/>
      <c r="K218" s="137">
        <f t="shared" ref="K218" si="130">IF(SUM(E218:J218)=0,"",SUM(E218:J218))</f>
        <v>9.5</v>
      </c>
      <c r="L218" s="137"/>
      <c r="M218" s="29">
        <f t="shared" ref="M218" si="131">ROUND((K218/B218)*100,2)</f>
        <v>1.52</v>
      </c>
      <c r="N218" s="25">
        <f t="shared" ref="N218" si="132">IFERROR(IF(M218&lt;0.1,0,ROUND(VLOOKUP(C218,DVtable,2,FALSE)*(LOG(M218))^6+VLOOKUP(C218,DVtable,3,FALSE)*(LOG(M218))^5+VLOOKUP(C218,DVtable,4,FALSE)*(LOG(M218))^4+VLOOKUP(C218,DVtable,5,FALSE)*(LOG(M218))^3+VLOOKUP(C218,DVtable,6,FALSE)*(LOG(M218))^2+VLOOKUP(C218,DVtable,7,FALSE)*(LOG(M218))+VLOOKUP(C218,DVtable,8,FALSE),2)),0)</f>
        <v>3.59</v>
      </c>
    </row>
    <row r="219" spans="1:14" x14ac:dyDescent="0.35">
      <c r="A219" s="21" t="s">
        <v>153</v>
      </c>
      <c r="B219" s="23">
        <v>627</v>
      </c>
      <c r="C219" s="140" t="s">
        <v>30</v>
      </c>
      <c r="D219" s="141"/>
      <c r="E219" s="25">
        <v>4</v>
      </c>
      <c r="F219" s="25">
        <v>3</v>
      </c>
      <c r="G219" s="25"/>
      <c r="H219" s="25"/>
      <c r="I219" s="25"/>
      <c r="J219" s="25"/>
      <c r="K219" s="137">
        <f t="shared" si="127"/>
        <v>7</v>
      </c>
      <c r="L219" s="137"/>
      <c r="M219" s="29">
        <f t="shared" si="128"/>
        <v>1.1200000000000001</v>
      </c>
      <c r="N219" s="25">
        <f t="shared" si="129"/>
        <v>18.170000000000002</v>
      </c>
    </row>
    <row r="220" spans="1:14" x14ac:dyDescent="0.35">
      <c r="A220" s="21" t="s">
        <v>154</v>
      </c>
      <c r="B220" s="23">
        <v>621</v>
      </c>
      <c r="C220" s="140" t="s">
        <v>72</v>
      </c>
      <c r="D220" s="141"/>
      <c r="E220" s="25">
        <v>1</v>
      </c>
      <c r="F220" s="25">
        <v>1.4</v>
      </c>
      <c r="G220" s="25">
        <v>2.8</v>
      </c>
      <c r="H220" s="25"/>
      <c r="I220" s="25"/>
      <c r="J220" s="25"/>
      <c r="K220" s="137">
        <f t="shared" si="64"/>
        <v>5.1999999999999993</v>
      </c>
      <c r="L220" s="137"/>
      <c r="M220" s="29">
        <f t="shared" si="65"/>
        <v>0.84</v>
      </c>
      <c r="N220" s="25">
        <f t="shared" si="66"/>
        <v>4.58</v>
      </c>
    </row>
    <row r="221" spans="1:14" x14ac:dyDescent="0.35">
      <c r="A221" s="21" t="s">
        <v>154</v>
      </c>
      <c r="B221" s="23">
        <v>621</v>
      </c>
      <c r="C221" s="140" t="s">
        <v>69</v>
      </c>
      <c r="D221" s="141"/>
      <c r="E221" s="25">
        <v>5</v>
      </c>
      <c r="F221" s="25">
        <v>10</v>
      </c>
      <c r="G221" s="25">
        <v>12</v>
      </c>
      <c r="H221" s="25">
        <v>10</v>
      </c>
      <c r="I221" s="25"/>
      <c r="J221" s="25"/>
      <c r="K221" s="137">
        <f t="shared" ref="K221" si="133">IF(SUM(E221:J221)=0,"",SUM(E221:J221))</f>
        <v>37</v>
      </c>
      <c r="L221" s="137"/>
      <c r="M221" s="29">
        <f t="shared" ref="M221" si="134">ROUND((K221/B221)*100,2)</f>
        <v>5.96</v>
      </c>
      <c r="N221" s="25">
        <f t="shared" ref="N221" si="135">IFERROR(IF(M221&lt;0.1,0,ROUND(VLOOKUP(C221,DVtable,2,FALSE)*(LOG(M221))^6+VLOOKUP(C221,DVtable,3,FALSE)*(LOG(M221))^5+VLOOKUP(C221,DVtable,4,FALSE)*(LOG(M221))^4+VLOOKUP(C221,DVtable,5,FALSE)*(LOG(M221))^3+VLOOKUP(C221,DVtable,6,FALSE)*(LOG(M221))^2+VLOOKUP(C221,DVtable,7,FALSE)*(LOG(M221))+VLOOKUP(C221,DVtable,8,FALSE),2)),0)</f>
        <v>7.6</v>
      </c>
    </row>
    <row r="222" spans="1:14" x14ac:dyDescent="0.35">
      <c r="A222" s="21" t="s">
        <v>154</v>
      </c>
      <c r="B222" s="23">
        <v>621</v>
      </c>
      <c r="C222" s="140" t="s">
        <v>73</v>
      </c>
      <c r="D222" s="141"/>
      <c r="E222" s="25">
        <v>8</v>
      </c>
      <c r="F222" s="25">
        <v>2</v>
      </c>
      <c r="G222" s="25">
        <v>1</v>
      </c>
      <c r="H222" s="25"/>
      <c r="I222" s="25"/>
      <c r="J222" s="25"/>
      <c r="K222" s="137">
        <f t="shared" ref="K222:K223" si="136">IF(SUM(E222:J222)=0,"",SUM(E222:J222))</f>
        <v>11</v>
      </c>
      <c r="L222" s="137"/>
      <c r="M222" s="29">
        <f t="shared" ref="M222:M223" si="137">ROUND((K222/B222)*100,2)</f>
        <v>1.77</v>
      </c>
      <c r="N222" s="25">
        <f t="shared" ref="N222:N223" si="138">IFERROR(IF(M222&lt;0.1,0,ROUND(VLOOKUP(C222,DVtable,2,FALSE)*(LOG(M222))^6+VLOOKUP(C222,DVtable,3,FALSE)*(LOG(M222))^5+VLOOKUP(C222,DVtable,4,FALSE)*(LOG(M222))^4+VLOOKUP(C222,DVtable,5,FALSE)*(LOG(M222))^3+VLOOKUP(C222,DVtable,6,FALSE)*(LOG(M222))^2+VLOOKUP(C222,DVtable,7,FALSE)*(LOG(M222))+VLOOKUP(C222,DVtable,8,FALSE),2)),0)</f>
        <v>10.51</v>
      </c>
    </row>
    <row r="223" spans="1:14" x14ac:dyDescent="0.35">
      <c r="A223" s="21" t="s">
        <v>154</v>
      </c>
      <c r="B223" s="23">
        <v>621</v>
      </c>
      <c r="C223" s="140">
        <v>11</v>
      </c>
      <c r="D223" s="141"/>
      <c r="E223" s="25">
        <v>25</v>
      </c>
      <c r="F223" s="25">
        <v>10</v>
      </c>
      <c r="G223" s="25"/>
      <c r="H223" s="25"/>
      <c r="I223" s="25"/>
      <c r="J223" s="25"/>
      <c r="K223" s="137">
        <f t="shared" si="136"/>
        <v>35</v>
      </c>
      <c r="L223" s="137"/>
      <c r="M223" s="29">
        <f t="shared" si="137"/>
        <v>5.64</v>
      </c>
      <c r="N223" s="25">
        <f t="shared" si="138"/>
        <v>11.46</v>
      </c>
    </row>
    <row r="224" spans="1:14" x14ac:dyDescent="0.35">
      <c r="A224" s="21" t="s">
        <v>155</v>
      </c>
      <c r="B224" s="23">
        <v>715</v>
      </c>
      <c r="C224" s="140" t="s">
        <v>95</v>
      </c>
      <c r="D224" s="141"/>
      <c r="E224" s="25">
        <v>2</v>
      </c>
      <c r="F224" s="25"/>
      <c r="G224" s="25"/>
      <c r="H224" s="25"/>
      <c r="I224" s="25"/>
      <c r="J224" s="25"/>
      <c r="K224" s="137">
        <f t="shared" si="64"/>
        <v>2</v>
      </c>
      <c r="L224" s="137"/>
      <c r="M224" s="29">
        <f t="shared" si="65"/>
        <v>0.28000000000000003</v>
      </c>
      <c r="N224" s="25">
        <f t="shared" si="66"/>
        <v>5.0599999999999996</v>
      </c>
    </row>
    <row r="225" spans="1:14" x14ac:dyDescent="0.35">
      <c r="A225" s="21" t="s">
        <v>155</v>
      </c>
      <c r="B225" s="23">
        <v>715</v>
      </c>
      <c r="C225" s="140" t="s">
        <v>72</v>
      </c>
      <c r="D225" s="141"/>
      <c r="E225" s="25">
        <v>5</v>
      </c>
      <c r="F225" s="25">
        <v>3.5</v>
      </c>
      <c r="G225" s="25">
        <v>1.8</v>
      </c>
      <c r="H225" s="25">
        <v>3</v>
      </c>
      <c r="I225" s="25">
        <v>3</v>
      </c>
      <c r="J225" s="25"/>
      <c r="K225" s="137">
        <f t="shared" ref="K225:K228" si="139">IF(SUM(E225:J225)=0,"",SUM(E225:J225))</f>
        <v>16.3</v>
      </c>
      <c r="L225" s="137"/>
      <c r="M225" s="29">
        <f t="shared" ref="M225:M228" si="140">ROUND((K225/B225)*100,2)</f>
        <v>2.2799999999999998</v>
      </c>
      <c r="N225" s="25">
        <f t="shared" ref="N225:N228" si="141">IFERROR(IF(M225&lt;0.1,0,ROUND(VLOOKUP(C225,DVtable,2,FALSE)*(LOG(M225))^6+VLOOKUP(C225,DVtable,3,FALSE)*(LOG(M225))^5+VLOOKUP(C225,DVtable,4,FALSE)*(LOG(M225))^4+VLOOKUP(C225,DVtable,5,FALSE)*(LOG(M225))^3+VLOOKUP(C225,DVtable,6,FALSE)*(LOG(M225))^2+VLOOKUP(C225,DVtable,7,FALSE)*(LOG(M225))+VLOOKUP(C225,DVtable,8,FALSE),2)),0)</f>
        <v>8</v>
      </c>
    </row>
    <row r="226" spans="1:14" x14ac:dyDescent="0.35">
      <c r="A226" s="21" t="s">
        <v>155</v>
      </c>
      <c r="B226" s="23">
        <v>715</v>
      </c>
      <c r="C226" s="140" t="s">
        <v>68</v>
      </c>
      <c r="D226" s="141"/>
      <c r="E226" s="25">
        <v>1.5</v>
      </c>
      <c r="F226" s="25"/>
      <c r="G226" s="25"/>
      <c r="H226" s="25"/>
      <c r="I226" s="25"/>
      <c r="J226" s="25"/>
      <c r="K226" s="137">
        <f t="shared" si="139"/>
        <v>1.5</v>
      </c>
      <c r="L226" s="137"/>
      <c r="M226" s="29">
        <f t="shared" si="140"/>
        <v>0.21</v>
      </c>
      <c r="N226" s="25">
        <f t="shared" si="141"/>
        <v>1.9</v>
      </c>
    </row>
    <row r="227" spans="1:14" x14ac:dyDescent="0.35">
      <c r="A227" s="21" t="s">
        <v>156</v>
      </c>
      <c r="B227" s="23">
        <v>627</v>
      </c>
      <c r="C227" s="140" t="s">
        <v>73</v>
      </c>
      <c r="D227" s="141"/>
      <c r="E227" s="25">
        <v>12</v>
      </c>
      <c r="F227" s="25">
        <v>10</v>
      </c>
      <c r="G227" s="25">
        <v>5</v>
      </c>
      <c r="H227" s="25">
        <v>4</v>
      </c>
      <c r="I227" s="25">
        <v>2</v>
      </c>
      <c r="J227" s="25"/>
      <c r="K227" s="137">
        <f t="shared" ref="K227" si="142">IF(SUM(E227:J227)=0,"",SUM(E227:J227))</f>
        <v>33</v>
      </c>
      <c r="L227" s="137"/>
      <c r="M227" s="29">
        <f t="shared" ref="M227" si="143">ROUND((K227/B227)*100,2)</f>
        <v>5.26</v>
      </c>
      <c r="N227" s="25">
        <f t="shared" ref="N227" si="144">IFERROR(IF(M227&lt;0.1,0,ROUND(VLOOKUP(C227,DVtable,2,FALSE)*(LOG(M227))^6+VLOOKUP(C227,DVtable,3,FALSE)*(LOG(M227))^5+VLOOKUP(C227,DVtable,4,FALSE)*(LOG(M227))^4+VLOOKUP(C227,DVtable,5,FALSE)*(LOG(M227))^3+VLOOKUP(C227,DVtable,6,FALSE)*(LOG(M227))^2+VLOOKUP(C227,DVtable,7,FALSE)*(LOG(M227))+VLOOKUP(C227,DVtable,8,FALSE),2)),0)</f>
        <v>15.84</v>
      </c>
    </row>
    <row r="228" spans="1:14" x14ac:dyDescent="0.35">
      <c r="A228" s="21" t="s">
        <v>156</v>
      </c>
      <c r="B228" s="23">
        <v>627</v>
      </c>
      <c r="C228" s="140">
        <v>11</v>
      </c>
      <c r="D228" s="141"/>
      <c r="E228" s="25">
        <v>10</v>
      </c>
      <c r="F228" s="25">
        <v>12</v>
      </c>
      <c r="G228" s="25"/>
      <c r="H228" s="25"/>
      <c r="I228" s="25"/>
      <c r="J228" s="25"/>
      <c r="K228" s="137">
        <f t="shared" si="139"/>
        <v>22</v>
      </c>
      <c r="L228" s="137"/>
      <c r="M228" s="29">
        <f t="shared" si="140"/>
        <v>3.51</v>
      </c>
      <c r="N228" s="25">
        <f t="shared" si="141"/>
        <v>8.07</v>
      </c>
    </row>
    <row r="229" spans="1:14" x14ac:dyDescent="0.35">
      <c r="A229" s="21" t="s">
        <v>156</v>
      </c>
      <c r="B229" s="23">
        <v>627</v>
      </c>
      <c r="C229" s="140" t="s">
        <v>72</v>
      </c>
      <c r="D229" s="141"/>
      <c r="E229" s="25">
        <v>6</v>
      </c>
      <c r="F229" s="25">
        <v>0.8</v>
      </c>
      <c r="G229" s="25">
        <v>0.5</v>
      </c>
      <c r="H229" s="25">
        <v>0.5</v>
      </c>
      <c r="I229" s="25">
        <v>0.4</v>
      </c>
      <c r="J229" s="25"/>
      <c r="K229" s="137">
        <f t="shared" si="64"/>
        <v>8.1999999999999993</v>
      </c>
      <c r="L229" s="137"/>
      <c r="M229" s="29">
        <f t="shared" si="65"/>
        <v>1.31</v>
      </c>
      <c r="N229" s="25">
        <f t="shared" si="66"/>
        <v>5.59</v>
      </c>
    </row>
    <row r="230" spans="1:14" x14ac:dyDescent="0.35">
      <c r="A230" s="21" t="s">
        <v>156</v>
      </c>
      <c r="B230" s="23">
        <v>627</v>
      </c>
      <c r="C230" s="140" t="s">
        <v>73</v>
      </c>
      <c r="D230" s="141"/>
      <c r="E230" s="25">
        <v>3</v>
      </c>
      <c r="F230" s="25">
        <v>1</v>
      </c>
      <c r="G230" s="25">
        <v>1</v>
      </c>
      <c r="H230" s="25">
        <v>2</v>
      </c>
      <c r="I230" s="25"/>
      <c r="J230" s="25"/>
      <c r="K230" s="137">
        <f t="shared" ref="K230:K232" si="145">IF(SUM(E230:J230)=0,"",SUM(E230:J230))</f>
        <v>7</v>
      </c>
      <c r="L230" s="137"/>
      <c r="M230" s="29">
        <f t="shared" ref="M230:M232" si="146">ROUND((K230/B230)*100,2)</f>
        <v>1.1200000000000001</v>
      </c>
      <c r="N230" s="25">
        <f t="shared" ref="N230:N232" si="147">IFERROR(IF(M230&lt;0.1,0,ROUND(VLOOKUP(C230,DVtable,2,FALSE)*(LOG(M230))^6+VLOOKUP(C230,DVtable,3,FALSE)*(LOG(M230))^5+VLOOKUP(C230,DVtable,4,FALSE)*(LOG(M230))^4+VLOOKUP(C230,DVtable,5,FALSE)*(LOG(M230))^3+VLOOKUP(C230,DVtable,6,FALSE)*(LOG(M230))^2+VLOOKUP(C230,DVtable,7,FALSE)*(LOG(M230))+VLOOKUP(C230,DVtable,8,FALSE),2)),0)</f>
        <v>8.7899999999999991</v>
      </c>
    </row>
    <row r="231" spans="1:14" x14ac:dyDescent="0.35">
      <c r="A231" s="21" t="s">
        <v>156</v>
      </c>
      <c r="B231" s="23">
        <v>627</v>
      </c>
      <c r="C231" s="140">
        <v>11</v>
      </c>
      <c r="D231" s="141"/>
      <c r="E231" s="25">
        <v>20</v>
      </c>
      <c r="F231" s="25"/>
      <c r="G231" s="25"/>
      <c r="H231" s="25"/>
      <c r="I231" s="25"/>
      <c r="J231" s="25"/>
      <c r="K231" s="137">
        <f t="shared" si="145"/>
        <v>20</v>
      </c>
      <c r="L231" s="137"/>
      <c r="M231" s="29">
        <f t="shared" si="146"/>
        <v>3.19</v>
      </c>
      <c r="N231" s="25">
        <f t="shared" si="147"/>
        <v>7.49</v>
      </c>
    </row>
    <row r="232" spans="1:14" x14ac:dyDescent="0.35">
      <c r="A232" s="21" t="s">
        <v>156</v>
      </c>
      <c r="B232" s="23">
        <v>627</v>
      </c>
      <c r="C232" s="140" t="s">
        <v>69</v>
      </c>
      <c r="D232" s="141"/>
      <c r="E232" s="25">
        <v>15</v>
      </c>
      <c r="F232" s="25">
        <v>6</v>
      </c>
      <c r="G232" s="25"/>
      <c r="H232" s="25"/>
      <c r="I232" s="25"/>
      <c r="J232" s="25"/>
      <c r="K232" s="137">
        <f t="shared" si="145"/>
        <v>21</v>
      </c>
      <c r="L232" s="137"/>
      <c r="M232" s="29">
        <f t="shared" si="146"/>
        <v>3.35</v>
      </c>
      <c r="N232" s="25">
        <f t="shared" si="147"/>
        <v>5.53</v>
      </c>
    </row>
    <row r="233" spans="1:14" x14ac:dyDescent="0.35">
      <c r="A233" s="21" t="s">
        <v>157</v>
      </c>
      <c r="B233" s="23">
        <v>715</v>
      </c>
      <c r="C233" s="140" t="s">
        <v>72</v>
      </c>
      <c r="D233" s="141"/>
      <c r="E233" s="25">
        <v>8</v>
      </c>
      <c r="F233" s="25">
        <v>2</v>
      </c>
      <c r="G233" s="25">
        <v>1.5</v>
      </c>
      <c r="H233" s="25">
        <v>2.5</v>
      </c>
      <c r="I233" s="25"/>
      <c r="J233" s="25"/>
      <c r="K233" s="137">
        <f t="shared" si="64"/>
        <v>14</v>
      </c>
      <c r="L233" s="137"/>
      <c r="M233" s="29">
        <f t="shared" si="65"/>
        <v>1.96</v>
      </c>
      <c r="N233" s="25">
        <f t="shared" si="66"/>
        <v>7.18</v>
      </c>
    </row>
    <row r="234" spans="1:14" x14ac:dyDescent="0.35">
      <c r="A234" s="21" t="s">
        <v>157</v>
      </c>
      <c r="B234" s="23">
        <v>715</v>
      </c>
      <c r="C234" s="140">
        <v>11</v>
      </c>
      <c r="D234" s="141"/>
      <c r="E234" s="25">
        <v>20</v>
      </c>
      <c r="F234" s="25"/>
      <c r="G234" s="25"/>
      <c r="H234" s="25"/>
      <c r="I234" s="25"/>
      <c r="J234" s="25"/>
      <c r="K234" s="137">
        <f t="shared" ref="K234:K237" si="148">IF(SUM(E234:J234)=0,"",SUM(E234:J234))</f>
        <v>20</v>
      </c>
      <c r="L234" s="137"/>
      <c r="M234" s="29">
        <f t="shared" ref="M234:M237" si="149">ROUND((K234/B234)*100,2)</f>
        <v>2.8</v>
      </c>
      <c r="N234" s="25">
        <f t="shared" ref="N234:N237" si="150">IFERROR(IF(M234&lt;0.1,0,ROUND(VLOOKUP(C234,DVtable,2,FALSE)*(LOG(M234))^6+VLOOKUP(C234,DVtable,3,FALSE)*(LOG(M234))^5+VLOOKUP(C234,DVtable,4,FALSE)*(LOG(M234))^4+VLOOKUP(C234,DVtable,5,FALSE)*(LOG(M234))^3+VLOOKUP(C234,DVtable,6,FALSE)*(LOG(M234))^2+VLOOKUP(C234,DVtable,7,FALSE)*(LOG(M234))+VLOOKUP(C234,DVtable,8,FALSE),2)),0)</f>
        <v>6.76</v>
      </c>
    </row>
    <row r="235" spans="1:14" x14ac:dyDescent="0.35">
      <c r="A235" s="21" t="s">
        <v>157</v>
      </c>
      <c r="B235" s="23">
        <v>715</v>
      </c>
      <c r="C235" s="140" t="s">
        <v>69</v>
      </c>
      <c r="D235" s="141"/>
      <c r="E235" s="25">
        <v>10</v>
      </c>
      <c r="F235" s="25">
        <v>15</v>
      </c>
      <c r="G235" s="25">
        <v>5</v>
      </c>
      <c r="H235" s="25">
        <v>5</v>
      </c>
      <c r="I235" s="25"/>
      <c r="J235" s="25"/>
      <c r="K235" s="137">
        <f t="shared" si="148"/>
        <v>35</v>
      </c>
      <c r="L235" s="137"/>
      <c r="M235" s="29">
        <f t="shared" si="149"/>
        <v>4.9000000000000004</v>
      </c>
      <c r="N235" s="25">
        <f t="shared" si="150"/>
        <v>6.83</v>
      </c>
    </row>
    <row r="236" spans="1:14" x14ac:dyDescent="0.35">
      <c r="A236" s="21" t="s">
        <v>157</v>
      </c>
      <c r="B236" s="23">
        <v>715</v>
      </c>
      <c r="C236" s="140" t="s">
        <v>73</v>
      </c>
      <c r="D236" s="141"/>
      <c r="E236" s="25">
        <v>2</v>
      </c>
      <c r="F236" s="25">
        <v>4</v>
      </c>
      <c r="G236" s="25"/>
      <c r="H236" s="25"/>
      <c r="I236" s="25"/>
      <c r="J236" s="25"/>
      <c r="K236" s="137">
        <f t="shared" si="148"/>
        <v>6</v>
      </c>
      <c r="L236" s="137"/>
      <c r="M236" s="29">
        <f t="shared" si="149"/>
        <v>0.84</v>
      </c>
      <c r="N236" s="25">
        <f t="shared" si="150"/>
        <v>7.84</v>
      </c>
    </row>
    <row r="237" spans="1:14" x14ac:dyDescent="0.35">
      <c r="A237" s="21" t="s">
        <v>157</v>
      </c>
      <c r="B237" s="23">
        <v>715</v>
      </c>
      <c r="C237" s="140" t="s">
        <v>108</v>
      </c>
      <c r="D237" s="141"/>
      <c r="E237" s="25">
        <v>1.5</v>
      </c>
      <c r="F237" s="25"/>
      <c r="G237" s="25"/>
      <c r="H237" s="25"/>
      <c r="I237" s="25"/>
      <c r="J237" s="25"/>
      <c r="K237" s="137">
        <f t="shared" si="148"/>
        <v>1.5</v>
      </c>
      <c r="L237" s="137"/>
      <c r="M237" s="29">
        <f t="shared" si="149"/>
        <v>0.21</v>
      </c>
      <c r="N237" s="25">
        <f t="shared" si="150"/>
        <v>1.56</v>
      </c>
    </row>
    <row r="238" spans="1:14" x14ac:dyDescent="0.35">
      <c r="A238" s="21" t="s">
        <v>165</v>
      </c>
      <c r="B238" s="23">
        <v>695</v>
      </c>
      <c r="C238" s="140" t="s">
        <v>72</v>
      </c>
      <c r="D238" s="141"/>
      <c r="E238" s="25">
        <v>1</v>
      </c>
      <c r="F238" s="25">
        <v>2</v>
      </c>
      <c r="G238" s="25">
        <v>1</v>
      </c>
      <c r="H238" s="25">
        <v>0.6</v>
      </c>
      <c r="I238" s="25">
        <v>1.8</v>
      </c>
      <c r="J238" s="25"/>
      <c r="K238" s="137">
        <f t="shared" si="64"/>
        <v>6.3999999999999995</v>
      </c>
      <c r="L238" s="137"/>
      <c r="M238" s="29">
        <f t="shared" si="65"/>
        <v>0.92</v>
      </c>
      <c r="N238" s="25">
        <f t="shared" si="66"/>
        <v>4.75</v>
      </c>
    </row>
    <row r="239" spans="1:14" x14ac:dyDescent="0.35">
      <c r="A239" s="21" t="s">
        <v>165</v>
      </c>
      <c r="B239" s="23">
        <v>695</v>
      </c>
      <c r="C239" s="140" t="s">
        <v>69</v>
      </c>
      <c r="D239" s="141"/>
      <c r="E239" s="25">
        <v>5</v>
      </c>
      <c r="F239" s="25">
        <v>2.5</v>
      </c>
      <c r="G239" s="25">
        <v>2</v>
      </c>
      <c r="H239" s="25"/>
      <c r="I239" s="25"/>
      <c r="J239" s="25"/>
      <c r="K239" s="137">
        <f t="shared" ref="K239:K240" si="151">IF(SUM(E239:J239)=0,"",SUM(E239:J239))</f>
        <v>9.5</v>
      </c>
      <c r="L239" s="137"/>
      <c r="M239" s="29">
        <f t="shared" ref="M239:M241" si="152">ROUND((K239/B239)*100,2)</f>
        <v>1.37</v>
      </c>
      <c r="N239" s="25">
        <f t="shared" ref="N239:N240" si="153">IFERROR(IF(M239&lt;0.1,0,ROUND(VLOOKUP(C239,DVtable,2,FALSE)*(LOG(M239))^6+VLOOKUP(C239,DVtable,3,FALSE)*(LOG(M239))^5+VLOOKUP(C239,DVtable,4,FALSE)*(LOG(M239))^4+VLOOKUP(C239,DVtable,5,FALSE)*(LOG(M239))^3+VLOOKUP(C239,DVtable,6,FALSE)*(LOG(M239))^2+VLOOKUP(C239,DVtable,7,FALSE)*(LOG(M239))+VLOOKUP(C239,DVtable,8,FALSE),2)),0)</f>
        <v>3.4</v>
      </c>
    </row>
    <row r="240" spans="1:14" x14ac:dyDescent="0.35">
      <c r="A240" s="21" t="s">
        <v>165</v>
      </c>
      <c r="B240" s="23">
        <v>695</v>
      </c>
      <c r="C240" s="140">
        <v>11</v>
      </c>
      <c r="D240" s="141"/>
      <c r="E240" s="25">
        <v>4</v>
      </c>
      <c r="F240" s="25">
        <v>2</v>
      </c>
      <c r="G240" s="25">
        <v>2</v>
      </c>
      <c r="H240" s="25">
        <v>1.3</v>
      </c>
      <c r="I240" s="25"/>
      <c r="J240" s="25"/>
      <c r="K240" s="137">
        <f t="shared" si="151"/>
        <v>9.3000000000000007</v>
      </c>
      <c r="L240" s="137"/>
      <c r="M240" s="29">
        <f t="shared" si="152"/>
        <v>1.34</v>
      </c>
      <c r="N240" s="25">
        <f t="shared" si="153"/>
        <v>3.73</v>
      </c>
    </row>
    <row r="241" spans="1:14" x14ac:dyDescent="0.35">
      <c r="A241" s="21" t="s">
        <v>158</v>
      </c>
      <c r="B241" s="23">
        <v>658</v>
      </c>
      <c r="C241" s="140" t="s">
        <v>72</v>
      </c>
      <c r="D241" s="141"/>
      <c r="E241" s="25">
        <v>4</v>
      </c>
      <c r="F241" s="25">
        <v>5</v>
      </c>
      <c r="G241" s="25">
        <v>6</v>
      </c>
      <c r="H241" s="25">
        <v>2.2000000000000002</v>
      </c>
      <c r="I241" s="25"/>
      <c r="J241" s="25"/>
      <c r="K241" s="137">
        <f t="shared" ref="K241" si="154">IF(SUM(E241:J241)=0,"",SUM(E241:J241))</f>
        <v>17.2</v>
      </c>
      <c r="L241" s="137"/>
      <c r="M241" s="29">
        <f t="shared" si="152"/>
        <v>2.61</v>
      </c>
      <c r="N241" s="25">
        <f t="shared" ref="N241" si="155">IFERROR(IF(M241&lt;0.1,0,ROUND(VLOOKUP(C241,DVtable,2,FALSE)*(LOG(M241))^6+VLOOKUP(C241,DVtable,3,FALSE)*(LOG(M241))^5+VLOOKUP(C241,DVtable,4,FALSE)*(LOG(M241))^4+VLOOKUP(C241,DVtable,5,FALSE)*(LOG(M241))^3+VLOOKUP(C241,DVtable,6,FALSE)*(LOG(M241))^2+VLOOKUP(C241,DVtable,7,FALSE)*(LOG(M241))+VLOOKUP(C241,DVtable,8,FALSE),2)),0)</f>
        <v>8.86</v>
      </c>
    </row>
    <row r="242" spans="1:14" x14ac:dyDescent="0.35">
      <c r="A242" s="21" t="s">
        <v>158</v>
      </c>
      <c r="B242" s="23">
        <v>658</v>
      </c>
      <c r="C242" s="140">
        <v>9</v>
      </c>
      <c r="D242" s="141"/>
      <c r="E242" s="25">
        <v>1.5</v>
      </c>
      <c r="F242" s="25"/>
      <c r="G242" s="25"/>
      <c r="H242" s="25"/>
      <c r="I242" s="25"/>
      <c r="J242" s="25"/>
      <c r="K242" s="137">
        <f t="shared" si="64"/>
        <v>1.5</v>
      </c>
      <c r="L242" s="137"/>
      <c r="M242" s="29">
        <f t="shared" si="65"/>
        <v>0.23</v>
      </c>
      <c r="N242" s="25">
        <f t="shared" si="66"/>
        <v>2.08</v>
      </c>
    </row>
    <row r="243" spans="1:14" x14ac:dyDescent="0.35">
      <c r="A243" s="21" t="s">
        <v>158</v>
      </c>
      <c r="B243" s="23">
        <v>658</v>
      </c>
      <c r="C243" s="140" t="s">
        <v>69</v>
      </c>
      <c r="D243" s="141"/>
      <c r="E243" s="25">
        <v>25</v>
      </c>
      <c r="F243" s="25"/>
      <c r="G243" s="25"/>
      <c r="H243" s="25"/>
      <c r="I243" s="25"/>
      <c r="J243" s="25"/>
      <c r="K243" s="137">
        <f t="shared" ref="K243:K245" si="156">IF(SUM(E243:J243)=0,"",SUM(E243:J243))</f>
        <v>25</v>
      </c>
      <c r="L243" s="137"/>
      <c r="M243" s="29">
        <f t="shared" ref="M243:M245" si="157">ROUND((K243/B243)*100,2)</f>
        <v>3.8</v>
      </c>
      <c r="N243" s="25">
        <f t="shared" ref="N243:N245" si="158">IFERROR(IF(M243&lt;0.1,0,ROUND(VLOOKUP(C243,DVtable,2,FALSE)*(LOG(M243))^6+VLOOKUP(C243,DVtable,3,FALSE)*(LOG(M243))^5+VLOOKUP(C243,DVtable,4,FALSE)*(LOG(M243))^4+VLOOKUP(C243,DVtable,5,FALSE)*(LOG(M243))^3+VLOOKUP(C243,DVtable,6,FALSE)*(LOG(M243))^2+VLOOKUP(C243,DVtable,7,FALSE)*(LOG(M243))+VLOOKUP(C243,DVtable,8,FALSE),2)),0)</f>
        <v>5.93</v>
      </c>
    </row>
    <row r="244" spans="1:14" x14ac:dyDescent="0.35">
      <c r="A244" s="21" t="s">
        <v>158</v>
      </c>
      <c r="B244" s="23">
        <v>658</v>
      </c>
      <c r="C244" s="140" t="s">
        <v>73</v>
      </c>
      <c r="D244" s="141"/>
      <c r="E244" s="25">
        <v>10</v>
      </c>
      <c r="F244" s="25">
        <v>4</v>
      </c>
      <c r="G244" s="25"/>
      <c r="H244" s="25"/>
      <c r="I244" s="25"/>
      <c r="J244" s="25"/>
      <c r="K244" s="137">
        <f t="shared" si="156"/>
        <v>14</v>
      </c>
      <c r="L244" s="137"/>
      <c r="M244" s="29">
        <f t="shared" si="157"/>
        <v>2.13</v>
      </c>
      <c r="N244" s="25">
        <f t="shared" si="158"/>
        <v>11.28</v>
      </c>
    </row>
    <row r="245" spans="1:14" x14ac:dyDescent="0.35">
      <c r="A245" s="21" t="s">
        <v>158</v>
      </c>
      <c r="B245" s="23">
        <v>658</v>
      </c>
      <c r="C245" s="140" t="s">
        <v>107</v>
      </c>
      <c r="D245" s="141"/>
      <c r="E245" s="25">
        <v>0.8</v>
      </c>
      <c r="F245" s="25"/>
      <c r="G245" s="25"/>
      <c r="H245" s="25"/>
      <c r="I245" s="25"/>
      <c r="J245" s="25"/>
      <c r="K245" s="137">
        <f t="shared" si="156"/>
        <v>0.8</v>
      </c>
      <c r="L245" s="137"/>
      <c r="M245" s="29">
        <f t="shared" si="157"/>
        <v>0.12</v>
      </c>
      <c r="N245" s="25">
        <f t="shared" si="158"/>
        <v>10.199999999999999</v>
      </c>
    </row>
    <row r="246" spans="1:14" x14ac:dyDescent="0.35">
      <c r="A246" s="21" t="s">
        <v>159</v>
      </c>
      <c r="B246" s="23">
        <v>656</v>
      </c>
      <c r="C246" s="140">
        <v>9</v>
      </c>
      <c r="D246" s="141"/>
      <c r="E246" s="25">
        <v>1</v>
      </c>
      <c r="F246" s="25"/>
      <c r="G246" s="25"/>
      <c r="H246" s="25"/>
      <c r="I246" s="25"/>
      <c r="J246" s="25"/>
      <c r="K246" s="137">
        <f t="shared" si="64"/>
        <v>1</v>
      </c>
      <c r="L246" s="137"/>
      <c r="M246" s="29">
        <f t="shared" si="65"/>
        <v>0.15</v>
      </c>
      <c r="N246" s="25">
        <f t="shared" si="66"/>
        <v>1.65</v>
      </c>
    </row>
    <row r="247" spans="1:14" x14ac:dyDescent="0.35">
      <c r="A247" s="21" t="s">
        <v>159</v>
      </c>
      <c r="B247" s="23">
        <v>656</v>
      </c>
      <c r="C247" s="140" t="s">
        <v>83</v>
      </c>
      <c r="D247" s="141"/>
      <c r="E247" s="25">
        <v>3</v>
      </c>
      <c r="F247" s="25"/>
      <c r="G247" s="25"/>
      <c r="H247" s="25"/>
      <c r="I247" s="25"/>
      <c r="J247" s="25"/>
      <c r="K247" s="137">
        <f t="shared" ref="K247:K250" si="159">IF(SUM(E247:J247)=0,"",SUM(E247:J247))</f>
        <v>3</v>
      </c>
      <c r="L247" s="137"/>
      <c r="M247" s="29">
        <f t="shared" ref="M247:M250" si="160">ROUND((K247/B247)*100,2)</f>
        <v>0.46</v>
      </c>
      <c r="N247" s="25">
        <f t="shared" ref="N247:N250" si="161">IFERROR(IF(M247&lt;0.1,0,ROUND(VLOOKUP(C247,DVtable,2,FALSE)*(LOG(M247))^6+VLOOKUP(C247,DVtable,3,FALSE)*(LOG(M247))^5+VLOOKUP(C247,DVtable,4,FALSE)*(LOG(M247))^4+VLOOKUP(C247,DVtable,5,FALSE)*(LOG(M247))^3+VLOOKUP(C247,DVtable,6,FALSE)*(LOG(M247))^2+VLOOKUP(C247,DVtable,7,FALSE)*(LOG(M247))+VLOOKUP(C247,DVtable,8,FALSE),2)),0)</f>
        <v>2</v>
      </c>
    </row>
    <row r="248" spans="1:14" x14ac:dyDescent="0.35">
      <c r="A248" s="21" t="s">
        <v>159</v>
      </c>
      <c r="B248" s="23">
        <v>656</v>
      </c>
      <c r="C248" s="140" t="s">
        <v>72</v>
      </c>
      <c r="D248" s="141"/>
      <c r="E248" s="25">
        <v>1</v>
      </c>
      <c r="F248" s="25">
        <v>3</v>
      </c>
      <c r="G248" s="25">
        <v>3.8</v>
      </c>
      <c r="H248" s="25"/>
      <c r="I248" s="25"/>
      <c r="J248" s="25"/>
      <c r="K248" s="137">
        <f t="shared" si="159"/>
        <v>7.8</v>
      </c>
      <c r="L248" s="137"/>
      <c r="M248" s="29">
        <f t="shared" si="160"/>
        <v>1.19</v>
      </c>
      <c r="N248" s="25">
        <f t="shared" si="161"/>
        <v>5.32</v>
      </c>
    </row>
    <row r="249" spans="1:14" x14ac:dyDescent="0.35">
      <c r="A249" s="21" t="s">
        <v>159</v>
      </c>
      <c r="B249" s="23">
        <v>656</v>
      </c>
      <c r="C249" s="140" t="s">
        <v>69</v>
      </c>
      <c r="D249" s="141"/>
      <c r="E249" s="25">
        <v>2</v>
      </c>
      <c r="F249" s="25">
        <v>2</v>
      </c>
      <c r="G249" s="25">
        <v>2</v>
      </c>
      <c r="H249" s="25"/>
      <c r="I249" s="25"/>
      <c r="J249" s="25"/>
      <c r="K249" s="137">
        <f t="shared" si="159"/>
        <v>6</v>
      </c>
      <c r="L249" s="137"/>
      <c r="M249" s="29">
        <f t="shared" si="160"/>
        <v>0.91</v>
      </c>
      <c r="N249" s="25">
        <f t="shared" si="161"/>
        <v>2.78</v>
      </c>
    </row>
    <row r="250" spans="1:14" x14ac:dyDescent="0.35">
      <c r="A250" s="21" t="s">
        <v>159</v>
      </c>
      <c r="B250" s="23">
        <v>656</v>
      </c>
      <c r="C250" s="140" t="s">
        <v>73</v>
      </c>
      <c r="D250" s="141"/>
      <c r="E250" s="25">
        <v>4</v>
      </c>
      <c r="F250" s="25"/>
      <c r="G250" s="25"/>
      <c r="H250" s="25"/>
      <c r="I250" s="25"/>
      <c r="J250" s="25"/>
      <c r="K250" s="137">
        <f t="shared" si="159"/>
        <v>4</v>
      </c>
      <c r="L250" s="137"/>
      <c r="M250" s="29">
        <f t="shared" si="160"/>
        <v>0.61</v>
      </c>
      <c r="N250" s="25">
        <f t="shared" si="161"/>
        <v>6.92</v>
      </c>
    </row>
    <row r="251" spans="1:14" x14ac:dyDescent="0.35">
      <c r="A251" s="21" t="s">
        <v>160</v>
      </c>
      <c r="B251" s="23">
        <v>656</v>
      </c>
      <c r="C251" s="140" t="s">
        <v>72</v>
      </c>
      <c r="D251" s="141"/>
      <c r="E251" s="25">
        <v>2</v>
      </c>
      <c r="F251" s="25">
        <v>0.5</v>
      </c>
      <c r="G251" s="25"/>
      <c r="H251" s="25"/>
      <c r="I251" s="25"/>
      <c r="J251" s="25"/>
      <c r="K251" s="137">
        <f t="shared" si="64"/>
        <v>2.5</v>
      </c>
      <c r="L251" s="137"/>
      <c r="M251" s="29">
        <f t="shared" si="65"/>
        <v>0.38</v>
      </c>
      <c r="N251" s="25">
        <f t="shared" si="66"/>
        <v>3.42</v>
      </c>
    </row>
    <row r="252" spans="1:14" x14ac:dyDescent="0.35">
      <c r="A252" s="21" t="s">
        <v>160</v>
      </c>
      <c r="B252" s="23">
        <v>656</v>
      </c>
      <c r="C252" s="140" t="s">
        <v>69</v>
      </c>
      <c r="D252" s="141"/>
      <c r="E252" s="25">
        <v>18</v>
      </c>
      <c r="F252" s="25"/>
      <c r="G252" s="25"/>
      <c r="H252" s="25"/>
      <c r="I252" s="25"/>
      <c r="J252" s="25"/>
      <c r="K252" s="137">
        <f t="shared" ref="K252" si="162">IF(SUM(E252:J252)=0,"",SUM(E252:J252))</f>
        <v>18</v>
      </c>
      <c r="L252" s="137"/>
      <c r="M252" s="29">
        <f t="shared" ref="M252" si="163">ROUND((K252/B252)*100,2)</f>
        <v>2.74</v>
      </c>
      <c r="N252" s="25">
        <f t="shared" ref="N252" si="164">IFERROR(IF(M252&lt;0.1,0,ROUND(VLOOKUP(C252,DVtable,2,FALSE)*(LOG(M252))^6+VLOOKUP(C252,DVtable,3,FALSE)*(LOG(M252))^5+VLOOKUP(C252,DVtable,4,FALSE)*(LOG(M252))^4+VLOOKUP(C252,DVtable,5,FALSE)*(LOG(M252))^3+VLOOKUP(C252,DVtable,6,FALSE)*(LOG(M252))^2+VLOOKUP(C252,DVtable,7,FALSE)*(LOG(M252))+VLOOKUP(C252,DVtable,8,FALSE),2)),0)</f>
        <v>4.9400000000000004</v>
      </c>
    </row>
    <row r="253" spans="1:14" x14ac:dyDescent="0.35">
      <c r="A253" s="21" t="s">
        <v>161</v>
      </c>
      <c r="B253" s="23">
        <v>656</v>
      </c>
      <c r="C253" s="140" t="s">
        <v>72</v>
      </c>
      <c r="D253" s="141"/>
      <c r="E253" s="25">
        <v>3.5</v>
      </c>
      <c r="F253" s="25">
        <v>4.5</v>
      </c>
      <c r="G253" s="25"/>
      <c r="H253" s="25"/>
      <c r="I253" s="25"/>
      <c r="J253" s="25"/>
      <c r="K253" s="137">
        <f t="shared" si="64"/>
        <v>8</v>
      </c>
      <c r="L253" s="137"/>
      <c r="M253" s="29">
        <f t="shared" si="65"/>
        <v>1.22</v>
      </c>
      <c r="N253" s="25">
        <f t="shared" si="66"/>
        <v>5.38</v>
      </c>
    </row>
    <row r="254" spans="1:14" x14ac:dyDescent="0.35">
      <c r="A254" s="21" t="s">
        <v>161</v>
      </c>
      <c r="B254" s="23">
        <v>656</v>
      </c>
      <c r="C254" s="140" t="s">
        <v>69</v>
      </c>
      <c r="D254" s="141"/>
      <c r="E254" s="25">
        <v>12</v>
      </c>
      <c r="F254" s="25">
        <v>6</v>
      </c>
      <c r="G254" s="25"/>
      <c r="H254" s="25"/>
      <c r="I254" s="25"/>
      <c r="J254" s="25"/>
      <c r="K254" s="137">
        <f t="shared" ref="K254:K255" si="165">IF(SUM(E254:J254)=0,"",SUM(E254:J254))</f>
        <v>18</v>
      </c>
      <c r="L254" s="137"/>
      <c r="M254" s="29">
        <f t="shared" ref="M254:M255" si="166">ROUND((K254/B254)*100,2)</f>
        <v>2.74</v>
      </c>
      <c r="N254" s="25">
        <f t="shared" ref="N254:N255" si="167">IFERROR(IF(M254&lt;0.1,0,ROUND(VLOOKUP(C254,DVtable,2,FALSE)*(LOG(M254))^6+VLOOKUP(C254,DVtable,3,FALSE)*(LOG(M254))^5+VLOOKUP(C254,DVtable,4,FALSE)*(LOG(M254))^4+VLOOKUP(C254,DVtable,5,FALSE)*(LOG(M254))^3+VLOOKUP(C254,DVtable,6,FALSE)*(LOG(M254))^2+VLOOKUP(C254,DVtable,7,FALSE)*(LOG(M254))+VLOOKUP(C254,DVtable,8,FALSE),2)),0)</f>
        <v>4.9400000000000004</v>
      </c>
    </row>
    <row r="255" spans="1:14" x14ac:dyDescent="0.35">
      <c r="A255" s="21" t="s">
        <v>161</v>
      </c>
      <c r="B255" s="23">
        <v>656</v>
      </c>
      <c r="C255" s="140" t="s">
        <v>73</v>
      </c>
      <c r="D255" s="141"/>
      <c r="E255" s="25">
        <v>2</v>
      </c>
      <c r="F255" s="25"/>
      <c r="G255" s="25"/>
      <c r="H255" s="25"/>
      <c r="I255" s="25"/>
      <c r="J255" s="25"/>
      <c r="K255" s="137">
        <f t="shared" si="165"/>
        <v>2</v>
      </c>
      <c r="L255" s="137"/>
      <c r="M255" s="29">
        <f t="shared" si="166"/>
        <v>0.3</v>
      </c>
      <c r="N255" s="25">
        <f t="shared" si="167"/>
        <v>5.5</v>
      </c>
    </row>
    <row r="256" spans="1:14" x14ac:dyDescent="0.35">
      <c r="A256" s="21" t="s">
        <v>162</v>
      </c>
      <c r="B256" s="23">
        <v>656</v>
      </c>
      <c r="C256" s="140" t="s">
        <v>72</v>
      </c>
      <c r="D256" s="141"/>
      <c r="E256" s="25">
        <v>2</v>
      </c>
      <c r="F256" s="25">
        <v>6</v>
      </c>
      <c r="G256" s="25">
        <v>2</v>
      </c>
      <c r="H256" s="25">
        <v>2</v>
      </c>
      <c r="I256" s="25">
        <v>1</v>
      </c>
      <c r="J256" s="25"/>
      <c r="K256" s="137">
        <f t="shared" si="64"/>
        <v>13</v>
      </c>
      <c r="L256" s="137"/>
      <c r="M256" s="29">
        <f t="shared" si="65"/>
        <v>1.98</v>
      </c>
      <c r="N256" s="25">
        <f t="shared" si="66"/>
        <v>7.23</v>
      </c>
    </row>
    <row r="257" spans="1:14" x14ac:dyDescent="0.35">
      <c r="A257" s="21" t="s">
        <v>162</v>
      </c>
      <c r="B257" s="23">
        <v>656</v>
      </c>
      <c r="C257" s="140" t="s">
        <v>69</v>
      </c>
      <c r="D257" s="141"/>
      <c r="E257" s="25">
        <v>15</v>
      </c>
      <c r="F257" s="25">
        <v>10</v>
      </c>
      <c r="G257" s="25"/>
      <c r="H257" s="25"/>
      <c r="I257" s="25"/>
      <c r="J257" s="25"/>
      <c r="K257" s="137">
        <f t="shared" ref="K257:K259" si="168">IF(SUM(E257:J257)=0,"",SUM(E257:J257))</f>
        <v>25</v>
      </c>
      <c r="L257" s="137"/>
      <c r="M257" s="29">
        <f t="shared" ref="M257:M259" si="169">ROUND((K257/B257)*100,2)</f>
        <v>3.81</v>
      </c>
      <c r="N257" s="25">
        <f t="shared" ref="N257:N259" si="170">IFERROR(IF(M257&lt;0.1,0,ROUND(VLOOKUP(C257,DVtable,2,FALSE)*(LOG(M257))^6+VLOOKUP(C257,DVtable,3,FALSE)*(LOG(M257))^5+VLOOKUP(C257,DVtable,4,FALSE)*(LOG(M257))^4+VLOOKUP(C257,DVtable,5,FALSE)*(LOG(M257))^3+VLOOKUP(C257,DVtable,6,FALSE)*(LOG(M257))^2+VLOOKUP(C257,DVtable,7,FALSE)*(LOG(M257))+VLOOKUP(C257,DVtable,8,FALSE),2)),0)</f>
        <v>5.94</v>
      </c>
    </row>
    <row r="258" spans="1:14" x14ac:dyDescent="0.35">
      <c r="A258" s="21" t="s">
        <v>162</v>
      </c>
      <c r="B258" s="23">
        <v>656</v>
      </c>
      <c r="C258" s="140" t="s">
        <v>73</v>
      </c>
      <c r="D258" s="141"/>
      <c r="E258" s="25">
        <v>9</v>
      </c>
      <c r="F258" s="25">
        <v>2.5</v>
      </c>
      <c r="G258" s="25">
        <v>1</v>
      </c>
      <c r="H258" s="25">
        <v>1</v>
      </c>
      <c r="I258" s="25"/>
      <c r="J258" s="25"/>
      <c r="K258" s="137">
        <f t="shared" si="168"/>
        <v>13.5</v>
      </c>
      <c r="L258" s="137"/>
      <c r="M258" s="29">
        <f t="shared" si="169"/>
        <v>2.06</v>
      </c>
      <c r="N258" s="25">
        <f t="shared" si="170"/>
        <v>11.14</v>
      </c>
    </row>
    <row r="259" spans="1:14" x14ac:dyDescent="0.35">
      <c r="A259" s="21" t="s">
        <v>163</v>
      </c>
      <c r="B259" s="23">
        <v>656</v>
      </c>
      <c r="C259" s="140" t="s">
        <v>72</v>
      </c>
      <c r="D259" s="141"/>
      <c r="E259" s="25">
        <v>10</v>
      </c>
      <c r="F259" s="25">
        <v>6</v>
      </c>
      <c r="G259" s="25">
        <v>2</v>
      </c>
      <c r="H259" s="25">
        <v>2</v>
      </c>
      <c r="I259" s="25"/>
      <c r="J259" s="25"/>
      <c r="K259" s="137">
        <f t="shared" si="168"/>
        <v>20</v>
      </c>
      <c r="L259" s="137"/>
      <c r="M259" s="29">
        <f t="shared" si="169"/>
        <v>3.05</v>
      </c>
      <c r="N259" s="25">
        <f t="shared" si="170"/>
        <v>9.99</v>
      </c>
    </row>
    <row r="260" spans="1:14" x14ac:dyDescent="0.35">
      <c r="A260" s="21" t="s">
        <v>163</v>
      </c>
      <c r="B260" s="23">
        <v>656</v>
      </c>
      <c r="C260" s="140">
        <v>9</v>
      </c>
      <c r="D260" s="141"/>
      <c r="E260" s="25">
        <f>1.2*1</f>
        <v>1.2</v>
      </c>
      <c r="F260" s="25"/>
      <c r="G260" s="25"/>
      <c r="H260" s="25"/>
      <c r="I260" s="25"/>
      <c r="J260" s="25"/>
      <c r="K260" s="137">
        <f t="shared" si="64"/>
        <v>1.2</v>
      </c>
      <c r="L260" s="137"/>
      <c r="M260" s="29">
        <f t="shared" si="65"/>
        <v>0.18</v>
      </c>
      <c r="N260" s="25">
        <f t="shared" si="66"/>
        <v>1.72</v>
      </c>
    </row>
    <row r="261" spans="1:14" x14ac:dyDescent="0.35">
      <c r="A261" s="21" t="s">
        <v>163</v>
      </c>
      <c r="B261" s="23">
        <v>656</v>
      </c>
      <c r="C261" s="140" t="s">
        <v>73</v>
      </c>
      <c r="D261" s="141"/>
      <c r="E261" s="25">
        <v>6</v>
      </c>
      <c r="F261" s="25">
        <v>6</v>
      </c>
      <c r="G261" s="25">
        <v>8</v>
      </c>
      <c r="H261" s="25">
        <v>2</v>
      </c>
      <c r="I261" s="25"/>
      <c r="J261" s="25"/>
      <c r="K261" s="137">
        <f t="shared" ref="K261" si="171">IF(SUM(E261:J261)=0,"",SUM(E261:J261))</f>
        <v>22</v>
      </c>
      <c r="L261" s="137"/>
      <c r="M261" s="29">
        <f t="shared" ref="M261" si="172">ROUND((K261/B261)*100,2)</f>
        <v>3.35</v>
      </c>
      <c r="N261" s="25">
        <f t="shared" ref="N261" si="173">IFERROR(IF(M261&lt;0.1,0,ROUND(VLOOKUP(C261,DVtable,2,FALSE)*(LOG(M261))^6+VLOOKUP(C261,DVtable,3,FALSE)*(LOG(M261))^5+VLOOKUP(C261,DVtable,4,FALSE)*(LOG(M261))^4+VLOOKUP(C261,DVtable,5,FALSE)*(LOG(M261))^3+VLOOKUP(C261,DVtable,6,FALSE)*(LOG(M261))^2+VLOOKUP(C261,DVtable,7,FALSE)*(LOG(M261))+VLOOKUP(C261,DVtable,8,FALSE),2)),0)</f>
        <v>13.35</v>
      </c>
    </row>
    <row r="262" spans="1:14" ht="18.600000000000001" thickBot="1" x14ac:dyDescent="0.4">
      <c r="A262" s="28" t="s">
        <v>164</v>
      </c>
      <c r="B262" s="67">
        <v>658</v>
      </c>
      <c r="C262" s="140" t="s">
        <v>69</v>
      </c>
      <c r="D262" s="141"/>
      <c r="E262" s="25">
        <f>5*5</f>
        <v>25</v>
      </c>
      <c r="F262" s="25">
        <f>2*2</f>
        <v>4</v>
      </c>
      <c r="G262" s="25">
        <v>8</v>
      </c>
      <c r="H262" s="25"/>
      <c r="I262" s="25"/>
      <c r="J262" s="25"/>
      <c r="K262" s="137">
        <f t="shared" si="64"/>
        <v>37</v>
      </c>
      <c r="L262" s="137"/>
      <c r="M262" s="29">
        <f t="shared" si="65"/>
        <v>5.62</v>
      </c>
      <c r="N262" s="25">
        <f t="shared" si="66"/>
        <v>7.36</v>
      </c>
    </row>
  </sheetData>
  <mergeCells count="514">
    <mergeCell ref="L4:N4"/>
    <mergeCell ref="C75:D75"/>
    <mergeCell ref="K75:L75"/>
    <mergeCell ref="K80:L80"/>
    <mergeCell ref="C81:D81"/>
    <mergeCell ref="C71:D71"/>
    <mergeCell ref="K71:L71"/>
    <mergeCell ref="C72:D72"/>
    <mergeCell ref="K72:L72"/>
    <mergeCell ref="C73:D73"/>
    <mergeCell ref="K73:L73"/>
    <mergeCell ref="K81:L81"/>
    <mergeCell ref="C70:D70"/>
    <mergeCell ref="K70:L70"/>
    <mergeCell ref="C74:D74"/>
    <mergeCell ref="K74:L74"/>
    <mergeCell ref="C77:D77"/>
    <mergeCell ref="K77:L77"/>
    <mergeCell ref="C78:D78"/>
    <mergeCell ref="K78:L78"/>
    <mergeCell ref="M11:M12"/>
    <mergeCell ref="C69:D69"/>
    <mergeCell ref="C76:D76"/>
    <mergeCell ref="C79:D79"/>
    <mergeCell ref="C89:D89"/>
    <mergeCell ref="C90:D90"/>
    <mergeCell ref="C91:D91"/>
    <mergeCell ref="C92:D92"/>
    <mergeCell ref="C85:D85"/>
    <mergeCell ref="C86:D86"/>
    <mergeCell ref="C87:D87"/>
    <mergeCell ref="C173:D173"/>
    <mergeCell ref="K173:L173"/>
    <mergeCell ref="C152:D152"/>
    <mergeCell ref="K152:L152"/>
    <mergeCell ref="C153:D153"/>
    <mergeCell ref="K153:L153"/>
    <mergeCell ref="K172:L172"/>
    <mergeCell ref="C140:D140"/>
    <mergeCell ref="K140:L140"/>
    <mergeCell ref="C144:D144"/>
    <mergeCell ref="K144:L144"/>
    <mergeCell ref="C145:D145"/>
    <mergeCell ref="K145:L145"/>
    <mergeCell ref="C146:D146"/>
    <mergeCell ref="K146:L146"/>
    <mergeCell ref="C147:D147"/>
    <mergeCell ref="K147:L147"/>
    <mergeCell ref="K176:L176"/>
    <mergeCell ref="C172:D172"/>
    <mergeCell ref="C174:D174"/>
    <mergeCell ref="C176:D176"/>
    <mergeCell ref="K169:L169"/>
    <mergeCell ref="C93:D93"/>
    <mergeCell ref="C94:D94"/>
    <mergeCell ref="C96:D96"/>
    <mergeCell ref="C97:D97"/>
    <mergeCell ref="C148:D148"/>
    <mergeCell ref="K148:L148"/>
    <mergeCell ref="C149:D149"/>
    <mergeCell ref="K149:L149"/>
    <mergeCell ref="C150:D150"/>
    <mergeCell ref="K150:L150"/>
    <mergeCell ref="C158:D158"/>
    <mergeCell ref="K97:L97"/>
    <mergeCell ref="K98:L98"/>
    <mergeCell ref="K99:L99"/>
    <mergeCell ref="K100:L100"/>
    <mergeCell ref="K93:L93"/>
    <mergeCell ref="K94:L94"/>
    <mergeCell ref="K95:L95"/>
    <mergeCell ref="C104:D104"/>
    <mergeCell ref="C248:D248"/>
    <mergeCell ref="K248:L248"/>
    <mergeCell ref="C257:D257"/>
    <mergeCell ref="K257:L257"/>
    <mergeCell ref="C258:D258"/>
    <mergeCell ref="K258:L258"/>
    <mergeCell ref="C261:D261"/>
    <mergeCell ref="K261:L261"/>
    <mergeCell ref="C35:D35"/>
    <mergeCell ref="K35:L35"/>
    <mergeCell ref="C36:D36"/>
    <mergeCell ref="K36:L36"/>
    <mergeCell ref="C38:D38"/>
    <mergeCell ref="K38:L38"/>
    <mergeCell ref="C39:D39"/>
    <mergeCell ref="K39:L39"/>
    <mergeCell ref="C40:D40"/>
    <mergeCell ref="K40:L40"/>
    <mergeCell ref="C41:D41"/>
    <mergeCell ref="K41:L41"/>
    <mergeCell ref="C43:D43"/>
    <mergeCell ref="K43:L43"/>
    <mergeCell ref="C44:D44"/>
    <mergeCell ref="K44:L44"/>
    <mergeCell ref="C231:D231"/>
    <mergeCell ref="K231:L231"/>
    <mergeCell ref="C232:D232"/>
    <mergeCell ref="K232:L232"/>
    <mergeCell ref="C243:D243"/>
    <mergeCell ref="K243:L243"/>
    <mergeCell ref="C244:D244"/>
    <mergeCell ref="K244:L244"/>
    <mergeCell ref="C245:D245"/>
    <mergeCell ref="K245:L245"/>
    <mergeCell ref="C241:D241"/>
    <mergeCell ref="K241:L241"/>
    <mergeCell ref="C240:D240"/>
    <mergeCell ref="K240:L240"/>
    <mergeCell ref="C234:D234"/>
    <mergeCell ref="K234:L234"/>
    <mergeCell ref="C235:D235"/>
    <mergeCell ref="K235:L235"/>
    <mergeCell ref="C236:D236"/>
    <mergeCell ref="K236:L236"/>
    <mergeCell ref="C237:D237"/>
    <mergeCell ref="K237:L237"/>
    <mergeCell ref="C233:D233"/>
    <mergeCell ref="K233:L233"/>
    <mergeCell ref="C230:D230"/>
    <mergeCell ref="K230:L230"/>
    <mergeCell ref="C228:D228"/>
    <mergeCell ref="K228:L228"/>
    <mergeCell ref="C204:D204"/>
    <mergeCell ref="K204:L204"/>
    <mergeCell ref="C199:D199"/>
    <mergeCell ref="K199:L199"/>
    <mergeCell ref="C200:D200"/>
    <mergeCell ref="K200:L200"/>
    <mergeCell ref="C202:D202"/>
    <mergeCell ref="K202:L202"/>
    <mergeCell ref="C223:D223"/>
    <mergeCell ref="K223:L223"/>
    <mergeCell ref="C225:D225"/>
    <mergeCell ref="K225:L225"/>
    <mergeCell ref="C226:D226"/>
    <mergeCell ref="K226:L226"/>
    <mergeCell ref="C217:D217"/>
    <mergeCell ref="K217:L217"/>
    <mergeCell ref="C219:D219"/>
    <mergeCell ref="K219:L219"/>
    <mergeCell ref="C222:D222"/>
    <mergeCell ref="K222:L222"/>
    <mergeCell ref="C227:D227"/>
    <mergeCell ref="K227:L227"/>
    <mergeCell ref="C159:D159"/>
    <mergeCell ref="K159:L159"/>
    <mergeCell ref="C160:D160"/>
    <mergeCell ref="K160:L160"/>
    <mergeCell ref="C163:D163"/>
    <mergeCell ref="K163:L163"/>
    <mergeCell ref="C164:D164"/>
    <mergeCell ref="K164:L164"/>
    <mergeCell ref="C165:D165"/>
    <mergeCell ref="K165:L165"/>
    <mergeCell ref="C161:D161"/>
    <mergeCell ref="K161:L161"/>
    <mergeCell ref="C162:D162"/>
    <mergeCell ref="K162:L162"/>
    <mergeCell ref="C168:D168"/>
    <mergeCell ref="K168:L168"/>
    <mergeCell ref="C169:D169"/>
    <mergeCell ref="K177:L177"/>
    <mergeCell ref="K178:L178"/>
    <mergeCell ref="K180:L180"/>
    <mergeCell ref="C192:D192"/>
    <mergeCell ref="K192:L192"/>
    <mergeCell ref="C207:D207"/>
    <mergeCell ref="K207:L207"/>
    <mergeCell ref="C208:D208"/>
    <mergeCell ref="K208:L208"/>
    <mergeCell ref="C209:D209"/>
    <mergeCell ref="K209:L209"/>
    <mergeCell ref="C205:D205"/>
    <mergeCell ref="K205:L205"/>
    <mergeCell ref="C259:D259"/>
    <mergeCell ref="K259:L259"/>
    <mergeCell ref="C211:D211"/>
    <mergeCell ref="K211:L211"/>
    <mergeCell ref="C212:D212"/>
    <mergeCell ref="K212:L212"/>
    <mergeCell ref="C214:D214"/>
    <mergeCell ref="K214:L214"/>
    <mergeCell ref="C215:D215"/>
    <mergeCell ref="K215:L215"/>
    <mergeCell ref="C221:D221"/>
    <mergeCell ref="K221:L221"/>
    <mergeCell ref="C224:D224"/>
    <mergeCell ref="K224:L224"/>
    <mergeCell ref="C229:D229"/>
    <mergeCell ref="K229:L229"/>
    <mergeCell ref="C238:D238"/>
    <mergeCell ref="K238:L238"/>
    <mergeCell ref="C242:D242"/>
    <mergeCell ref="K242:L242"/>
    <mergeCell ref="C239:D239"/>
    <mergeCell ref="K239:L239"/>
    <mergeCell ref="C198:D198"/>
    <mergeCell ref="K198:L198"/>
    <mergeCell ref="C188:D188"/>
    <mergeCell ref="K188:L188"/>
    <mergeCell ref="C191:D191"/>
    <mergeCell ref="K191:L191"/>
    <mergeCell ref="C193:D193"/>
    <mergeCell ref="K193:L193"/>
    <mergeCell ref="C194:D194"/>
    <mergeCell ref="K194:L194"/>
    <mergeCell ref="C206:D206"/>
    <mergeCell ref="K206:L206"/>
    <mergeCell ref="C210:D210"/>
    <mergeCell ref="K210:L210"/>
    <mergeCell ref="C213:D213"/>
    <mergeCell ref="K213:L213"/>
    <mergeCell ref="C216:D216"/>
    <mergeCell ref="K216:L216"/>
    <mergeCell ref="C262:D262"/>
    <mergeCell ref="K262:L262"/>
    <mergeCell ref="C246:D246"/>
    <mergeCell ref="K246:L246"/>
    <mergeCell ref="C251:D251"/>
    <mergeCell ref="K251:L251"/>
    <mergeCell ref="C253:D253"/>
    <mergeCell ref="K253:L253"/>
    <mergeCell ref="C256:D256"/>
    <mergeCell ref="K256:L256"/>
    <mergeCell ref="C260:D260"/>
    <mergeCell ref="K260:L260"/>
    <mergeCell ref="C249:D249"/>
    <mergeCell ref="K249:L249"/>
    <mergeCell ref="C250:D250"/>
    <mergeCell ref="K250:L250"/>
    <mergeCell ref="C252:D252"/>
    <mergeCell ref="K252:L252"/>
    <mergeCell ref="C254:D254"/>
    <mergeCell ref="K254:L254"/>
    <mergeCell ref="C255:D255"/>
    <mergeCell ref="K255:L255"/>
    <mergeCell ref="C247:D247"/>
    <mergeCell ref="K247:L247"/>
    <mergeCell ref="C220:D220"/>
    <mergeCell ref="K220:L220"/>
    <mergeCell ref="C218:D218"/>
    <mergeCell ref="K218:L218"/>
    <mergeCell ref="C201:D201"/>
    <mergeCell ref="K201:L201"/>
    <mergeCell ref="C203:D203"/>
    <mergeCell ref="K203:L203"/>
    <mergeCell ref="C175:D175"/>
    <mergeCell ref="K175:L175"/>
    <mergeCell ref="C179:D179"/>
    <mergeCell ref="K179:L179"/>
    <mergeCell ref="C181:D181"/>
    <mergeCell ref="K181:L181"/>
    <mergeCell ref="C185:D185"/>
    <mergeCell ref="K185:L185"/>
    <mergeCell ref="C189:D189"/>
    <mergeCell ref="K189:L189"/>
    <mergeCell ref="C180:D180"/>
    <mergeCell ref="C182:D182"/>
    <mergeCell ref="K182:L182"/>
    <mergeCell ref="C183:D183"/>
    <mergeCell ref="K183:L183"/>
    <mergeCell ref="C184:D184"/>
    <mergeCell ref="K197:L197"/>
    <mergeCell ref="C166:D166"/>
    <mergeCell ref="K166:L166"/>
    <mergeCell ref="C167:D167"/>
    <mergeCell ref="K167:L167"/>
    <mergeCell ref="C171:D171"/>
    <mergeCell ref="K171:L171"/>
    <mergeCell ref="C170:D170"/>
    <mergeCell ref="K170:L170"/>
    <mergeCell ref="C195:D195"/>
    <mergeCell ref="K195:L195"/>
    <mergeCell ref="C196:D196"/>
    <mergeCell ref="K196:L196"/>
    <mergeCell ref="C197:D197"/>
    <mergeCell ref="C190:D190"/>
    <mergeCell ref="K190:L190"/>
    <mergeCell ref="C187:D187"/>
    <mergeCell ref="K187:L187"/>
    <mergeCell ref="C177:D177"/>
    <mergeCell ref="C178:D178"/>
    <mergeCell ref="K184:L184"/>
    <mergeCell ref="C186:D186"/>
    <mergeCell ref="K186:L186"/>
    <mergeCell ref="K174:L174"/>
    <mergeCell ref="N11:N12"/>
    <mergeCell ref="C3:J3"/>
    <mergeCell ref="C4:J4"/>
    <mergeCell ref="K101:L101"/>
    <mergeCell ref="C1:M1"/>
    <mergeCell ref="C2:M2"/>
    <mergeCell ref="K67:L67"/>
    <mergeCell ref="K68:L68"/>
    <mergeCell ref="K69:L69"/>
    <mergeCell ref="K76:L76"/>
    <mergeCell ref="K79:L79"/>
    <mergeCell ref="K31:L31"/>
    <mergeCell ref="K32:L32"/>
    <mergeCell ref="K33:L33"/>
    <mergeCell ref="C98:D98"/>
    <mergeCell ref="C99:D99"/>
    <mergeCell ref="C88:D88"/>
    <mergeCell ref="C68:D68"/>
    <mergeCell ref="K65:L65"/>
    <mergeCell ref="C101:D101"/>
    <mergeCell ref="K28:L28"/>
    <mergeCell ref="C95:D95"/>
    <mergeCell ref="K86:L86"/>
    <mergeCell ref="C80:D80"/>
    <mergeCell ref="K84:L84"/>
    <mergeCell ref="K85:L85"/>
    <mergeCell ref="C100:D100"/>
    <mergeCell ref="K24:L24"/>
    <mergeCell ref="K25:L25"/>
    <mergeCell ref="K26:L26"/>
    <mergeCell ref="K27:L27"/>
    <mergeCell ref="C46:D46"/>
    <mergeCell ref="K46:L46"/>
    <mergeCell ref="K51:L51"/>
    <mergeCell ref="C52:D52"/>
    <mergeCell ref="K52:L52"/>
    <mergeCell ref="C53:D53"/>
    <mergeCell ref="K53:L53"/>
    <mergeCell ref="C54:D54"/>
    <mergeCell ref="K54:L54"/>
    <mergeCell ref="C57:D57"/>
    <mergeCell ref="K57:L57"/>
    <mergeCell ref="C82:D82"/>
    <mergeCell ref="K82:L82"/>
    <mergeCell ref="C83:D83"/>
    <mergeCell ref="K83:L83"/>
    <mergeCell ref="K96:L96"/>
    <mergeCell ref="C84:D84"/>
    <mergeCell ref="K87:L87"/>
    <mergeCell ref="K88:L88"/>
    <mergeCell ref="K89:L89"/>
    <mergeCell ref="K90:L90"/>
    <mergeCell ref="K91:L91"/>
    <mergeCell ref="K92:L92"/>
    <mergeCell ref="A11:A12"/>
    <mergeCell ref="C24:D24"/>
    <mergeCell ref="C25:D25"/>
    <mergeCell ref="C28:D28"/>
    <mergeCell ref="C29:D29"/>
    <mergeCell ref="C30:D30"/>
    <mergeCell ref="C62:D62"/>
    <mergeCell ref="C23:D23"/>
    <mergeCell ref="C14:D14"/>
    <mergeCell ref="C31:D31"/>
    <mergeCell ref="C32:D32"/>
    <mergeCell ref="C33:D33"/>
    <mergeCell ref="C21:D21"/>
    <mergeCell ref="B11:B12"/>
    <mergeCell ref="C51:D51"/>
    <mergeCell ref="C67:D67"/>
    <mergeCell ref="C65:D65"/>
    <mergeCell ref="C16:D16"/>
    <mergeCell ref="C19:D19"/>
    <mergeCell ref="K19:L19"/>
    <mergeCell ref="K62:L62"/>
    <mergeCell ref="C63:D63"/>
    <mergeCell ref="K63:L63"/>
    <mergeCell ref="C34:D34"/>
    <mergeCell ref="K34:L34"/>
    <mergeCell ref="C37:D37"/>
    <mergeCell ref="K37:L37"/>
    <mergeCell ref="C26:D26"/>
    <mergeCell ref="C27:D27"/>
    <mergeCell ref="C58:D58"/>
    <mergeCell ref="C59:D59"/>
    <mergeCell ref="C60:D60"/>
    <mergeCell ref="K58:L58"/>
    <mergeCell ref="K59:L59"/>
    <mergeCell ref="K60:L60"/>
    <mergeCell ref="C47:D47"/>
    <mergeCell ref="K47:L47"/>
    <mergeCell ref="C48:D48"/>
    <mergeCell ref="K29:L29"/>
    <mergeCell ref="K30:L30"/>
    <mergeCell ref="K23:L23"/>
    <mergeCell ref="C20:D20"/>
    <mergeCell ref="K20:L20"/>
    <mergeCell ref="K21:L21"/>
    <mergeCell ref="C22:D22"/>
    <mergeCell ref="K22:L22"/>
    <mergeCell ref="C66:D66"/>
    <mergeCell ref="C55:D55"/>
    <mergeCell ref="K55:L55"/>
    <mergeCell ref="C56:D56"/>
    <mergeCell ref="K56:L56"/>
    <mergeCell ref="C61:D61"/>
    <mergeCell ref="K61:L61"/>
    <mergeCell ref="C42:D42"/>
    <mergeCell ref="K42:L42"/>
    <mergeCell ref="C45:D45"/>
    <mergeCell ref="K45:L45"/>
    <mergeCell ref="C50:D50"/>
    <mergeCell ref="K50:L50"/>
    <mergeCell ref="K66:L66"/>
    <mergeCell ref="A3:B3"/>
    <mergeCell ref="C102:D102"/>
    <mergeCell ref="K102:L102"/>
    <mergeCell ref="C103:D103"/>
    <mergeCell ref="K103:L103"/>
    <mergeCell ref="C11:D12"/>
    <mergeCell ref="E11:J12"/>
    <mergeCell ref="K11:L12"/>
    <mergeCell ref="C13:D13"/>
    <mergeCell ref="K13:L13"/>
    <mergeCell ref="A4:B4"/>
    <mergeCell ref="C17:D17"/>
    <mergeCell ref="K17:L17"/>
    <mergeCell ref="C18:D18"/>
    <mergeCell ref="K18:L18"/>
    <mergeCell ref="K14:L14"/>
    <mergeCell ref="C15:D15"/>
    <mergeCell ref="K15:L15"/>
    <mergeCell ref="K48:L48"/>
    <mergeCell ref="C49:D49"/>
    <mergeCell ref="K49:L49"/>
    <mergeCell ref="K16:L16"/>
    <mergeCell ref="C64:D64"/>
    <mergeCell ref="K64:L64"/>
    <mergeCell ref="K104:L104"/>
    <mergeCell ref="C105:D105"/>
    <mergeCell ref="K105:L105"/>
    <mergeCell ref="C106:D106"/>
    <mergeCell ref="K106:L106"/>
    <mergeCell ref="C107:D107"/>
    <mergeCell ref="K107:L107"/>
    <mergeCell ref="C109:D109"/>
    <mergeCell ref="K109:L109"/>
    <mergeCell ref="C108:D108"/>
    <mergeCell ref="K108:L108"/>
    <mergeCell ref="C110:D110"/>
    <mergeCell ref="K110:L110"/>
    <mergeCell ref="C111:D111"/>
    <mergeCell ref="K111:L111"/>
    <mergeCell ref="C112:D112"/>
    <mergeCell ref="K112:L112"/>
    <mergeCell ref="C113:D113"/>
    <mergeCell ref="K113:L113"/>
    <mergeCell ref="C114:D114"/>
    <mergeCell ref="K114:L114"/>
    <mergeCell ref="C115:D115"/>
    <mergeCell ref="K115:L115"/>
    <mergeCell ref="C116:D116"/>
    <mergeCell ref="K116:L116"/>
    <mergeCell ref="C117:D117"/>
    <mergeCell ref="K117:L117"/>
    <mergeCell ref="C118:D118"/>
    <mergeCell ref="K118:L118"/>
    <mergeCell ref="C119:D119"/>
    <mergeCell ref="K119:L119"/>
    <mergeCell ref="C120:D120"/>
    <mergeCell ref="K120:L120"/>
    <mergeCell ref="C121:D121"/>
    <mergeCell ref="K121:L121"/>
    <mergeCell ref="C122:D122"/>
    <mergeCell ref="K122:L122"/>
    <mergeCell ref="C124:D124"/>
    <mergeCell ref="C125:D125"/>
    <mergeCell ref="K124:L124"/>
    <mergeCell ref="K125:L125"/>
    <mergeCell ref="C123:D123"/>
    <mergeCell ref="K123:L123"/>
    <mergeCell ref="C126:D126"/>
    <mergeCell ref="K126:L126"/>
    <mergeCell ref="C127:D127"/>
    <mergeCell ref="K127:L127"/>
    <mergeCell ref="C128:D128"/>
    <mergeCell ref="K128:L128"/>
    <mergeCell ref="C129:D129"/>
    <mergeCell ref="K129:L129"/>
    <mergeCell ref="C130:D130"/>
    <mergeCell ref="K130:L130"/>
    <mergeCell ref="C131:D131"/>
    <mergeCell ref="K131:L131"/>
    <mergeCell ref="C132:D132"/>
    <mergeCell ref="K132:L132"/>
    <mergeCell ref="C134:D134"/>
    <mergeCell ref="K134:L134"/>
    <mergeCell ref="C135:D135"/>
    <mergeCell ref="K135:L135"/>
    <mergeCell ref="C136:D136"/>
    <mergeCell ref="K136:L136"/>
    <mergeCell ref="C133:D133"/>
    <mergeCell ref="K133:L133"/>
    <mergeCell ref="C137:D137"/>
    <mergeCell ref="K137:L137"/>
    <mergeCell ref="C138:D138"/>
    <mergeCell ref="K138:L138"/>
    <mergeCell ref="C139:D139"/>
    <mergeCell ref="K139:L139"/>
    <mergeCell ref="C141:D141"/>
    <mergeCell ref="K141:L141"/>
    <mergeCell ref="C143:D143"/>
    <mergeCell ref="K143:L143"/>
    <mergeCell ref="C142:D142"/>
    <mergeCell ref="K142:L142"/>
    <mergeCell ref="K158:L158"/>
    <mergeCell ref="C154:D154"/>
    <mergeCell ref="K154:L154"/>
    <mergeCell ref="C151:D151"/>
    <mergeCell ref="K151:L151"/>
    <mergeCell ref="C155:D155"/>
    <mergeCell ref="K155:L155"/>
    <mergeCell ref="C156:D156"/>
    <mergeCell ref="K156:L156"/>
    <mergeCell ref="C157:D157"/>
    <mergeCell ref="K157:L157"/>
  </mergeCells>
  <phoneticPr fontId="8" type="noConversion"/>
  <dataValidations count="1">
    <dataValidation showInputMessage="1" showErrorMessage="1" sqref="A13:B262"/>
  </dataValidations>
  <printOptions horizontalCentered="1"/>
  <pageMargins left="0.6" right="0.4" top="0.5" bottom="0.5" header="0.3" footer="0.3"/>
  <pageSetup paperSize="9" scale="75" orientation="portrait" r:id="rId1"/>
  <headerFooter>
    <oddFooter xml:space="preserve">&amp;L    &amp;R&amp;K00+000-------------- </oddFooter>
  </headerFooter>
  <ignoredErrors>
    <ignoredError sqref="K14 K25:L262" formulaRange="1"/>
    <ignoredError sqref="A245:A262 A238:A244" twoDigitTextYea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H500"/>
  <sheetViews>
    <sheetView tabSelected="1" view="pageBreakPreview" topLeftCell="A142" zoomScale="70" zoomScaleNormal="70" zoomScaleSheetLayoutView="70" workbookViewId="0">
      <selection activeCell="Y15" sqref="Y15"/>
    </sheetView>
  </sheetViews>
  <sheetFormatPr defaultColWidth="11.21875" defaultRowHeight="15.6" x14ac:dyDescent="0.3"/>
  <cols>
    <col min="1" max="1" width="10" style="41" customWidth="1"/>
    <col min="2" max="2" width="8.109375" style="41" bestFit="1" customWidth="1"/>
    <col min="3" max="8" width="7" style="42" bestFit="1" customWidth="1"/>
    <col min="9" max="9" width="6" style="42" bestFit="1" customWidth="1"/>
    <col min="10" max="10" width="5.88671875" style="42" customWidth="1"/>
    <col min="11" max="13" width="11.21875" style="42" hidden="1" customWidth="1"/>
    <col min="14" max="14" width="6.88671875" style="42" bestFit="1" customWidth="1"/>
    <col min="15" max="15" width="8.109375" style="42" bestFit="1" customWidth="1"/>
    <col min="16" max="16" width="6" style="42" bestFit="1" customWidth="1"/>
    <col min="17" max="17" width="7" style="42" bestFit="1" customWidth="1"/>
    <col min="18" max="18" width="9.33203125" style="42" bestFit="1" customWidth="1"/>
    <col min="19" max="19" width="7" style="41" bestFit="1" customWidth="1"/>
    <col min="20" max="20" width="10.5546875" style="41" bestFit="1" customWidth="1"/>
    <col min="21" max="21" width="8.5546875" style="41" bestFit="1" customWidth="1"/>
    <col min="22" max="22" width="15" style="41" bestFit="1" customWidth="1"/>
    <col min="23" max="23" width="17.21875" style="41" customWidth="1"/>
    <col min="24" max="24" width="7.5546875" style="41" bestFit="1" customWidth="1"/>
    <col min="25" max="25" width="15" style="41" bestFit="1" customWidth="1"/>
    <col min="26" max="26" width="18.21875" style="41" customWidth="1"/>
    <col min="27" max="27" width="7.5546875" style="41" bestFit="1" customWidth="1"/>
    <col min="28" max="28" width="15" style="41" bestFit="1" customWidth="1"/>
    <col min="29" max="29" width="17.21875" style="41" bestFit="1" customWidth="1"/>
    <col min="30" max="30" width="11.109375" style="41" bestFit="1" customWidth="1"/>
    <col min="31" max="31" width="14.77734375" style="41" bestFit="1" customWidth="1"/>
    <col min="32" max="32" width="19.33203125" style="41" customWidth="1"/>
    <col min="33" max="16384" width="11.21875" style="41"/>
  </cols>
  <sheetData>
    <row r="1" spans="1:34" ht="24" thickBot="1" x14ac:dyDescent="0.5">
      <c r="A1" s="158" t="s">
        <v>128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AG1" s="59"/>
    </row>
    <row r="2" spans="1:34" ht="23.4" x14ac:dyDescent="0.45">
      <c r="A2" s="68"/>
      <c r="T2" s="69" t="str">
        <f>CHAR(71)&amp;CHAR(101)&amp;CHAR(110)&amp;CHAR(101)&amp;CHAR(114)&amp;CHAR(97)&amp;CHAR(116)&amp;CHAR(101)&amp;CHAR(100)&amp;CHAR(32)&amp;CHAR(98)&amp;CHAR(121)&amp;CHAR(32)&amp;CHAR(65)&amp;CHAR(101)&amp;CHAR(114)&amp;CHAR(111)&amp;CHAR(80)&amp;CHAR(67)&amp;CHAR(73)&amp;CHAR(32)&amp;CHAR(118)&amp;CHAR(49)&amp;CHAR(46)&amp;CHAR(48)&amp;CHAR(32)&amp;CHAR(45)&amp;CHAR(32)&amp;CHAR(169)&amp;CHAR(32)&amp;CHAR(50)&amp;CHAR(48)&amp;CHAR(50)&amp;CHAR(49)</f>
        <v>Generated by AeroPCI v1.0 - © 2021</v>
      </c>
      <c r="U2" s="53" t="s">
        <v>125</v>
      </c>
      <c r="V2" s="43" t="s">
        <v>118</v>
      </c>
      <c r="W2" s="54">
        <f>IF(COUNT(S4:S187)=0,"",ROUND(SUMPRODUCT(S4:S187,B4:B187)/SUMIF(S4:S187,"&lt;&gt;",B4:B187),2))</f>
        <v>76.59</v>
      </c>
      <c r="X2" s="53" t="s">
        <v>211</v>
      </c>
      <c r="Y2" s="43" t="s">
        <v>118</v>
      </c>
      <c r="Z2" s="39" t="str">
        <f>IF(COUNT(S500:S550)=0,"",ROUND(SUMPRODUCT(S500:S550,B500:B550)/SUMIF(S500:S550,"&lt;&gt;",B500:B550),2))</f>
        <v/>
      </c>
      <c r="AA2" s="53" t="s">
        <v>212</v>
      </c>
      <c r="AB2" s="43" t="s">
        <v>118</v>
      </c>
      <c r="AC2" s="39">
        <f>IF(COUNT(S188:S203)=0,"",ROUND(SUMPRODUCT(S188:S203,B188:B203)/SUMIF(S188:S203,"&lt;&gt;",B188:B203),2))</f>
        <v>83.83</v>
      </c>
      <c r="AD2" s="53" t="s">
        <v>126</v>
      </c>
      <c r="AE2" s="43" t="s">
        <v>118</v>
      </c>
      <c r="AF2" s="39">
        <f>IF(COUNT(S4:S203)=0,"",ROUND(SUMPRODUCT(S4:S203,B4:B203)/SUMIF(S4:S203,"&lt;&gt;",B4:B203),2))</f>
        <v>77.41</v>
      </c>
      <c r="AG2" s="59"/>
    </row>
    <row r="3" spans="1:34" s="45" customFormat="1" ht="54.6" thickBot="1" x14ac:dyDescent="0.5">
      <c r="A3" s="44" t="s">
        <v>169</v>
      </c>
      <c r="B3" s="44" t="s">
        <v>67</v>
      </c>
      <c r="C3" s="44" t="s">
        <v>116</v>
      </c>
      <c r="D3" s="155" t="s">
        <v>124</v>
      </c>
      <c r="E3" s="156"/>
      <c r="F3" s="156"/>
      <c r="G3" s="156"/>
      <c r="H3" s="156"/>
      <c r="I3" s="156"/>
      <c r="J3" s="156"/>
      <c r="K3" s="156"/>
      <c r="L3" s="156"/>
      <c r="M3" s="157"/>
      <c r="N3" s="44" t="s">
        <v>213</v>
      </c>
      <c r="O3" s="44" t="s">
        <v>209</v>
      </c>
      <c r="P3" s="44" t="s">
        <v>210</v>
      </c>
      <c r="Q3" s="44" t="s">
        <v>117</v>
      </c>
      <c r="R3" s="44" t="s">
        <v>120</v>
      </c>
      <c r="S3" s="44" t="s">
        <v>118</v>
      </c>
      <c r="T3" s="44" t="s">
        <v>122</v>
      </c>
      <c r="U3" s="60"/>
      <c r="V3" s="46" t="s">
        <v>122</v>
      </c>
      <c r="W3" s="40" t="str">
        <f>IF(W2="","",IF(AND(W2&lt;=100,W2&gt;85),"Good",IF(AND(W2&lt;=85,W2&gt;70),"Satisfactory",IF(AND(W2&lt;=70,W2&gt;55),"Fair",IF(AND(W2&lt;=55,W2&gt;40),"Poor",IF(AND(W2&lt;=40,W2&gt;25),"Very Poor",IF(AND(W2&lt;=25,W2&gt;10),"Serious",IF(AND(W2&lt;=10,W2&gt;=0),"Failed",""))))))))</f>
        <v>Satisfactory</v>
      </c>
      <c r="X3" s="60"/>
      <c r="Y3" s="46" t="s">
        <v>122</v>
      </c>
      <c r="Z3" s="40" t="str">
        <f>IF(Z2="","",IF(AND(Z2&lt;=100,Z2&gt;85),"Good",IF(AND(Z2&lt;=85,Z2&gt;70),"Satisfactory",IF(AND(Z2&lt;=70,Z2&gt;55),"Fair",IF(AND(Z2&lt;=55,Z2&gt;40),"Poor",IF(AND(Z2&lt;=40,Z2&gt;25),"Very Poor",IF(AND(Z2&lt;=25,Z2&gt;10),"Serious",IF(AND(Z2&lt;=10,Z2&gt;=0),"Failed",""))))))))</f>
        <v/>
      </c>
      <c r="AB3" s="46" t="s">
        <v>122</v>
      </c>
      <c r="AC3" s="40" t="str">
        <f>IF(AC2="","",IF(AND(AC2&lt;=100,AC2&gt;85),"Good",IF(AND(AC2&lt;=85,AC2&gt;70),"Satisfactory",IF(AND(AC2&lt;=70,AC2&gt;55),"Fair",IF(AND(AC2&lt;=55,AC2&gt;40),"Poor",IF(AND(AC2&lt;=40,AC2&gt;25),"Very Poor",IF(AND(AC2&lt;=25,AC2&gt;10),"Serious",IF(AND(AC2&lt;=10,AC2&gt;=0),"Failed",""))))))))</f>
        <v>Satisfactory</v>
      </c>
      <c r="AE3" s="46" t="s">
        <v>122</v>
      </c>
      <c r="AF3" s="40" t="str">
        <f>IF(AF2="","",IF(AND(AF2&lt;=100,AF2&gt;85),"Good",IF(AND(AF2&lt;=85,AF2&gt;70),"Satisfactory",IF(AND(AF2&lt;=70,AF2&gt;55),"Fair",IF(AND(AF2&lt;=55,AF2&gt;40),"Poor",IF(AND(AF2&lt;=40,AF2&gt;25),"Very Poor",IF(AND(AF2&lt;=25,AF2&gt;10),"Serious",IF(AND(AF2&lt;=10,AF2&gt;=0),"Failed",""))))))))</f>
        <v>Satisfactory</v>
      </c>
      <c r="AG3" s="59"/>
      <c r="AH3" s="41"/>
    </row>
    <row r="4" spans="1:34" ht="16.8" thickTop="1" thickBot="1" x14ac:dyDescent="0.35">
      <c r="A4" s="35" t="s">
        <v>129</v>
      </c>
      <c r="B4" s="34">
        <v>697</v>
      </c>
      <c r="C4" s="34" t="s">
        <v>123</v>
      </c>
      <c r="D4" s="34">
        <v>6.9</v>
      </c>
      <c r="E4" s="34">
        <v>6.3</v>
      </c>
      <c r="F4" s="34">
        <v>5.78</v>
      </c>
      <c r="G4" s="34">
        <v>4.5599999999999996</v>
      </c>
      <c r="H4" s="34"/>
      <c r="I4" s="34"/>
      <c r="J4" s="34"/>
      <c r="K4" s="34"/>
      <c r="L4" s="34"/>
      <c r="M4" s="34"/>
      <c r="N4" s="34">
        <v>9.82</v>
      </c>
      <c r="O4" s="34">
        <v>23.54</v>
      </c>
      <c r="P4" s="34">
        <v>3</v>
      </c>
      <c r="Q4" s="34">
        <v>8.75</v>
      </c>
      <c r="R4" s="34">
        <v>1</v>
      </c>
      <c r="S4" s="34"/>
      <c r="T4" s="49" t="str">
        <f>IF(S4="","",IF(AND(S4&lt;=100,S4&gt;85),"Good",IF(AND(S4&lt;=85,S4&gt;70),"Satisfactory",IF(AND(S4&lt;=70,S4&gt;55),"Fair",IF(AND(S4&lt;=55,S4&gt;40),"Poor",IF(AND(S4&lt;=40,S4&gt;25),"Very Poor",IF(AND(S4&lt;=25,S4&gt;10),"Serious",IF(AND(S4&lt;=10,S4&gt;=0),"Failed",""))))))))</f>
        <v/>
      </c>
      <c r="U4" s="60"/>
      <c r="V4" s="56" t="s">
        <v>127</v>
      </c>
      <c r="W4" s="57" t="str">
        <f>IF(W2="","",IF(AND(W2&lt;=100,W2&gt;85),"Excellent",IF(AND(W2&lt;=85,W2&gt;70),"Very Good",IF(AND(W2&lt;=70,W2&gt;55),"Good",IF(AND(W2&lt;=55,W2&gt;40),"Fair",IF(AND(W2&lt;=40,W2&gt;25),"Poor",IF(AND(W2&lt;=25,W2&gt;10),"Very Poor",IF(AND(W2&lt;=10,W2&gt;=0),"Failed",""))))))))</f>
        <v>Very Good</v>
      </c>
      <c r="X4" s="60"/>
      <c r="Y4" s="56" t="s">
        <v>127</v>
      </c>
      <c r="Z4" s="57" t="str">
        <f>IF(Z2="","",IF(AND(Z2&lt;=100,Z2&gt;85),"Excellent",IF(AND(Z2&lt;=85,Z2&gt;70),"Very Good",IF(AND(Z2&lt;=70,Z2&gt;55),"Good",IF(AND(Z2&lt;=55,Z2&gt;40),"Fair",IF(AND(Z2&lt;=40,Z2&gt;25),"Poor",IF(AND(Z2&lt;=25,Z2&gt;10),"Very Poor",IF(AND(Z2&lt;=10,Z2&gt;=0),"Failed",""))))))))</f>
        <v/>
      </c>
      <c r="AB4" s="56" t="s">
        <v>127</v>
      </c>
      <c r="AC4" s="57" t="str">
        <f>IF(AC2="","",IF(AND(AC2&lt;=100,AC2&gt;85),"Excellent",IF(AND(AC2&lt;=85,AC2&gt;70),"Very Good",IF(AND(AC2&lt;=70,AC2&gt;55),"Good",IF(AND(AC2&lt;=55,AC2&gt;40),"Fair",IF(AND(AC2&lt;=40,AC2&gt;25),"Poor",IF(AND(AC2&lt;=25,AC2&gt;10),"Very Poor",IF(AND(AC2&lt;=10,AC2&gt;=0),"Failed",""))))))))</f>
        <v>Very Good</v>
      </c>
      <c r="AE4" s="56" t="s">
        <v>127</v>
      </c>
      <c r="AF4" s="57" t="str">
        <f>IF(AF2="","",IF(AND(AF2&lt;=100,AF2&gt;85),"Excellent",IF(AND(AF2&lt;=85,AF2&gt;70),"Very Good",IF(AND(AF2&lt;=70,AF2&gt;55),"Good",IF(AND(AF2&lt;=55,AF2&gt;40),"Fair",IF(AND(AF2&lt;=40,AF2&gt;25),"Poor",IF(AND(AF2&lt;=25,AF2&gt;10),"Very Poor",IF(AND(AF2&lt;=10,AF2&gt;=0),"Failed",""))))))))</f>
        <v>Very Good</v>
      </c>
    </row>
    <row r="5" spans="1:34" x14ac:dyDescent="0.3">
      <c r="A5" s="33" t="s">
        <v>129</v>
      </c>
      <c r="B5" s="31">
        <v>697</v>
      </c>
      <c r="C5" s="31" t="s">
        <v>123</v>
      </c>
      <c r="D5" s="31">
        <v>6.9</v>
      </c>
      <c r="E5" s="31">
        <v>6.3</v>
      </c>
      <c r="F5" s="31">
        <v>5</v>
      </c>
      <c r="G5" s="31">
        <v>4.5599999999999996</v>
      </c>
      <c r="H5" s="31"/>
      <c r="I5" s="31"/>
      <c r="J5" s="31"/>
      <c r="K5" s="31"/>
      <c r="L5" s="31"/>
      <c r="M5" s="31"/>
      <c r="N5" s="31">
        <v>9.82</v>
      </c>
      <c r="O5" s="31">
        <v>22.76</v>
      </c>
      <c r="P5" s="31">
        <v>2</v>
      </c>
      <c r="Q5" s="31">
        <v>12.03</v>
      </c>
      <c r="R5" s="31">
        <v>2</v>
      </c>
      <c r="S5" s="31"/>
      <c r="T5" s="51" t="str">
        <f t="shared" ref="T5:T68" si="0">IF(S5="","",IF(AND(S5&lt;=100,S5&gt;85),"Good",IF(AND(S5&lt;=85,S5&gt;70),"Satisfactory",IF(AND(S5&lt;=70,S5&gt;55),"Fair",IF(AND(S5&lt;=55,S5&gt;40),"Poor",IF(AND(S5&lt;=40,S5&gt;25),"Very Poor",IF(AND(S5&lt;=25,S5&gt;10),"Serious",IF(AND(S5&lt;=10,S5&gt;=0),"Failed",""))))))))</f>
        <v/>
      </c>
      <c r="U5" s="61"/>
      <c r="V5" s="42"/>
      <c r="W5" s="65"/>
      <c r="Y5" s="42"/>
      <c r="Z5" s="65"/>
      <c r="AB5" s="42"/>
      <c r="AC5" s="65"/>
      <c r="AE5" s="42"/>
      <c r="AF5" s="65"/>
    </row>
    <row r="6" spans="1:34" ht="16.2" thickBot="1" x14ac:dyDescent="0.35">
      <c r="A6" s="36" t="s">
        <v>129</v>
      </c>
      <c r="B6" s="32">
        <v>697</v>
      </c>
      <c r="C6" s="32" t="s">
        <v>123</v>
      </c>
      <c r="D6" s="32">
        <v>6.9</v>
      </c>
      <c r="E6" s="32">
        <v>5</v>
      </c>
      <c r="F6" s="32">
        <v>5</v>
      </c>
      <c r="G6" s="32">
        <v>4.5599999999999996</v>
      </c>
      <c r="H6" s="32"/>
      <c r="I6" s="32"/>
      <c r="J6" s="32"/>
      <c r="K6" s="32"/>
      <c r="L6" s="32"/>
      <c r="M6" s="32"/>
      <c r="N6" s="32">
        <v>9.82</v>
      </c>
      <c r="O6" s="32">
        <v>21.46</v>
      </c>
      <c r="P6" s="32">
        <v>1</v>
      </c>
      <c r="Q6" s="32">
        <v>21.19</v>
      </c>
      <c r="R6" s="32">
        <v>3</v>
      </c>
      <c r="S6" s="32">
        <v>78.81</v>
      </c>
      <c r="T6" s="50" t="str">
        <f t="shared" si="0"/>
        <v>Satisfactory</v>
      </c>
      <c r="V6" s="58"/>
    </row>
    <row r="7" spans="1:34" ht="16.2" thickTop="1" x14ac:dyDescent="0.3">
      <c r="A7" s="35" t="s">
        <v>130</v>
      </c>
      <c r="B7" s="34">
        <v>550</v>
      </c>
      <c r="C7" s="34" t="s">
        <v>123</v>
      </c>
      <c r="D7" s="34">
        <v>9.98</v>
      </c>
      <c r="E7" s="34">
        <v>6.97</v>
      </c>
      <c r="F7" s="34">
        <v>5.27</v>
      </c>
      <c r="G7" s="34">
        <v>5.14</v>
      </c>
      <c r="H7" s="34"/>
      <c r="I7" s="34"/>
      <c r="J7" s="34"/>
      <c r="K7" s="34"/>
      <c r="L7" s="34"/>
      <c r="M7" s="34"/>
      <c r="N7" s="34">
        <v>9.5299999999999994</v>
      </c>
      <c r="O7" s="34">
        <v>27.36</v>
      </c>
      <c r="P7" s="34">
        <v>4</v>
      </c>
      <c r="Q7" s="34">
        <v>6.5</v>
      </c>
      <c r="R7" s="34">
        <v>1</v>
      </c>
      <c r="S7" s="34"/>
      <c r="T7" s="49" t="str">
        <f t="shared" si="0"/>
        <v/>
      </c>
      <c r="V7" s="58"/>
    </row>
    <row r="8" spans="1:34" x14ac:dyDescent="0.3">
      <c r="A8" s="33" t="s">
        <v>130</v>
      </c>
      <c r="B8" s="31">
        <v>550</v>
      </c>
      <c r="C8" s="31" t="s">
        <v>123</v>
      </c>
      <c r="D8" s="31">
        <v>9.98</v>
      </c>
      <c r="E8" s="31">
        <v>6.97</v>
      </c>
      <c r="F8" s="31">
        <v>5.27</v>
      </c>
      <c r="G8" s="31">
        <v>5</v>
      </c>
      <c r="H8" s="31"/>
      <c r="I8" s="31"/>
      <c r="J8" s="31"/>
      <c r="K8" s="31"/>
      <c r="L8" s="31"/>
      <c r="M8" s="31"/>
      <c r="N8" s="31">
        <v>9.5299999999999994</v>
      </c>
      <c r="O8" s="31">
        <v>27.22</v>
      </c>
      <c r="P8" s="31">
        <v>3</v>
      </c>
      <c r="Q8" s="31">
        <v>11.7</v>
      </c>
      <c r="R8" s="31">
        <v>2</v>
      </c>
      <c r="S8" s="31"/>
      <c r="T8" s="51" t="str">
        <f t="shared" si="0"/>
        <v/>
      </c>
      <c r="V8" s="58"/>
    </row>
    <row r="9" spans="1:34" x14ac:dyDescent="0.3">
      <c r="A9" s="33" t="s">
        <v>130</v>
      </c>
      <c r="B9" s="31">
        <v>550</v>
      </c>
      <c r="C9" s="31" t="s">
        <v>123</v>
      </c>
      <c r="D9" s="31">
        <v>9.98</v>
      </c>
      <c r="E9" s="31">
        <v>6.97</v>
      </c>
      <c r="F9" s="31">
        <v>5</v>
      </c>
      <c r="G9" s="31">
        <v>5</v>
      </c>
      <c r="H9" s="31"/>
      <c r="I9" s="31"/>
      <c r="J9" s="31"/>
      <c r="K9" s="31"/>
      <c r="L9" s="31"/>
      <c r="M9" s="31"/>
      <c r="N9" s="31">
        <v>9.5299999999999994</v>
      </c>
      <c r="O9" s="31">
        <v>26.95</v>
      </c>
      <c r="P9" s="31">
        <v>2</v>
      </c>
      <c r="Q9" s="31">
        <v>15.38</v>
      </c>
      <c r="R9" s="31">
        <v>3</v>
      </c>
      <c r="S9" s="31"/>
      <c r="T9" s="51" t="str">
        <f t="shared" si="0"/>
        <v/>
      </c>
      <c r="V9" s="58"/>
    </row>
    <row r="10" spans="1:34" ht="16.2" thickBot="1" x14ac:dyDescent="0.35">
      <c r="A10" s="36" t="s">
        <v>130</v>
      </c>
      <c r="B10" s="32">
        <v>550</v>
      </c>
      <c r="C10" s="32" t="s">
        <v>123</v>
      </c>
      <c r="D10" s="32">
        <v>9.98</v>
      </c>
      <c r="E10" s="32">
        <v>5</v>
      </c>
      <c r="F10" s="32">
        <v>5</v>
      </c>
      <c r="G10" s="32">
        <v>5</v>
      </c>
      <c r="H10" s="32"/>
      <c r="I10" s="32"/>
      <c r="J10" s="32"/>
      <c r="K10" s="32"/>
      <c r="L10" s="32"/>
      <c r="M10" s="32"/>
      <c r="N10" s="32">
        <v>9.5299999999999994</v>
      </c>
      <c r="O10" s="32">
        <v>24.98</v>
      </c>
      <c r="P10" s="32">
        <v>1</v>
      </c>
      <c r="Q10" s="32">
        <v>24.7</v>
      </c>
      <c r="R10" s="32">
        <v>4</v>
      </c>
      <c r="S10" s="32">
        <v>75.3</v>
      </c>
      <c r="T10" s="50" t="str">
        <f t="shared" si="0"/>
        <v>Satisfactory</v>
      </c>
      <c r="V10" s="58"/>
      <c r="Z10" s="47"/>
    </row>
    <row r="11" spans="1:34" ht="16.2" thickTop="1" x14ac:dyDescent="0.3">
      <c r="A11" s="35" t="s">
        <v>131</v>
      </c>
      <c r="B11" s="34">
        <v>550</v>
      </c>
      <c r="C11" s="34" t="s">
        <v>123</v>
      </c>
      <c r="D11" s="34">
        <v>12.96</v>
      </c>
      <c r="E11" s="34">
        <v>5.46</v>
      </c>
      <c r="F11" s="34">
        <v>5.34</v>
      </c>
      <c r="G11" s="34"/>
      <c r="H11" s="34"/>
      <c r="I11" s="34"/>
      <c r="J11" s="34"/>
      <c r="K11" s="34"/>
      <c r="L11" s="34"/>
      <c r="M11" s="34"/>
      <c r="N11" s="34">
        <v>9.25</v>
      </c>
      <c r="O11" s="34">
        <v>23.76</v>
      </c>
      <c r="P11" s="34">
        <v>3</v>
      </c>
      <c r="Q11" s="34">
        <v>8.93</v>
      </c>
      <c r="R11" s="34">
        <v>1</v>
      </c>
      <c r="S11" s="34"/>
      <c r="T11" s="49" t="str">
        <f t="shared" si="0"/>
        <v/>
      </c>
      <c r="V11" s="58"/>
      <c r="Z11" s="47"/>
    </row>
    <row r="12" spans="1:34" x14ac:dyDescent="0.3">
      <c r="A12" s="33" t="s">
        <v>131</v>
      </c>
      <c r="B12" s="31">
        <v>550</v>
      </c>
      <c r="C12" s="31" t="s">
        <v>123</v>
      </c>
      <c r="D12" s="31">
        <v>12.96</v>
      </c>
      <c r="E12" s="31">
        <v>5.46</v>
      </c>
      <c r="F12" s="31">
        <v>5</v>
      </c>
      <c r="G12" s="31"/>
      <c r="H12" s="31"/>
      <c r="I12" s="31"/>
      <c r="J12" s="31"/>
      <c r="K12" s="31"/>
      <c r="L12" s="31"/>
      <c r="M12" s="31"/>
      <c r="N12" s="31">
        <v>9.25</v>
      </c>
      <c r="O12" s="31">
        <v>23.42</v>
      </c>
      <c r="P12" s="31">
        <v>2</v>
      </c>
      <c r="Q12" s="31">
        <v>12.56</v>
      </c>
      <c r="R12" s="31">
        <v>2</v>
      </c>
      <c r="S12" s="31"/>
      <c r="T12" s="51" t="str">
        <f t="shared" si="0"/>
        <v/>
      </c>
      <c r="Z12" s="47"/>
    </row>
    <row r="13" spans="1:34" ht="16.2" thickBot="1" x14ac:dyDescent="0.35">
      <c r="A13" s="36" t="s">
        <v>131</v>
      </c>
      <c r="B13" s="32">
        <v>550</v>
      </c>
      <c r="C13" s="32" t="s">
        <v>123</v>
      </c>
      <c r="D13" s="32">
        <v>12.96</v>
      </c>
      <c r="E13" s="32">
        <v>5</v>
      </c>
      <c r="F13" s="32">
        <v>5</v>
      </c>
      <c r="G13" s="32"/>
      <c r="H13" s="32"/>
      <c r="I13" s="32"/>
      <c r="J13" s="32"/>
      <c r="K13" s="32"/>
      <c r="L13" s="32"/>
      <c r="M13" s="32"/>
      <c r="N13" s="32">
        <v>9.25</v>
      </c>
      <c r="O13" s="32">
        <v>22.96</v>
      </c>
      <c r="P13" s="32">
        <v>1</v>
      </c>
      <c r="Q13" s="32">
        <v>22.69</v>
      </c>
      <c r="R13" s="32">
        <v>3</v>
      </c>
      <c r="S13" s="32">
        <v>77.31</v>
      </c>
      <c r="T13" s="50" t="str">
        <f t="shared" si="0"/>
        <v>Satisfactory</v>
      </c>
      <c r="Z13" s="47"/>
    </row>
    <row r="14" spans="1:34" ht="16.2" thickTop="1" x14ac:dyDescent="0.3">
      <c r="A14" s="35" t="s">
        <v>132</v>
      </c>
      <c r="B14" s="34">
        <v>621</v>
      </c>
      <c r="C14" s="34" t="s">
        <v>123</v>
      </c>
      <c r="D14" s="34">
        <v>8.92</v>
      </c>
      <c r="E14" s="34">
        <v>5.29</v>
      </c>
      <c r="F14" s="34">
        <v>4.32</v>
      </c>
      <c r="G14" s="34">
        <v>3.51</v>
      </c>
      <c r="H14" s="34"/>
      <c r="I14" s="34"/>
      <c r="J14" s="34"/>
      <c r="K14" s="34"/>
      <c r="L14" s="34"/>
      <c r="M14" s="34"/>
      <c r="N14" s="34">
        <v>9.6300000000000008</v>
      </c>
      <c r="O14" s="34">
        <v>22.04</v>
      </c>
      <c r="P14" s="34">
        <v>2</v>
      </c>
      <c r="Q14" s="34">
        <v>11.45</v>
      </c>
      <c r="R14" s="34">
        <v>1</v>
      </c>
      <c r="S14" s="34"/>
      <c r="T14" s="49" t="str">
        <f t="shared" si="0"/>
        <v/>
      </c>
      <c r="W14" s="47"/>
      <c r="X14" s="47"/>
      <c r="Y14" s="47"/>
      <c r="Z14" s="47"/>
    </row>
    <row r="15" spans="1:34" ht="16.2" thickBot="1" x14ac:dyDescent="0.35">
      <c r="A15" s="36" t="s">
        <v>132</v>
      </c>
      <c r="B15" s="32">
        <v>621</v>
      </c>
      <c r="C15" s="32" t="s">
        <v>123</v>
      </c>
      <c r="D15" s="32">
        <v>8.92</v>
      </c>
      <c r="E15" s="32">
        <v>5</v>
      </c>
      <c r="F15" s="32">
        <v>4.32</v>
      </c>
      <c r="G15" s="32">
        <v>3.51</v>
      </c>
      <c r="H15" s="32"/>
      <c r="I15" s="32"/>
      <c r="J15" s="32"/>
      <c r="K15" s="32"/>
      <c r="L15" s="32"/>
      <c r="M15" s="32"/>
      <c r="N15" s="32">
        <v>9.6300000000000008</v>
      </c>
      <c r="O15" s="32">
        <v>21.75</v>
      </c>
      <c r="P15" s="32">
        <v>1</v>
      </c>
      <c r="Q15" s="32">
        <v>21.48</v>
      </c>
      <c r="R15" s="32">
        <v>2</v>
      </c>
      <c r="S15" s="32">
        <v>78.52</v>
      </c>
      <c r="T15" s="50" t="str">
        <f t="shared" si="0"/>
        <v>Satisfactory</v>
      </c>
      <c r="W15" s="47"/>
      <c r="X15" s="47"/>
      <c r="Y15" s="47"/>
    </row>
    <row r="16" spans="1:34" ht="16.8" thickTop="1" thickBot="1" x14ac:dyDescent="0.35">
      <c r="A16" s="37" t="s">
        <v>133</v>
      </c>
      <c r="B16" s="38">
        <v>690</v>
      </c>
      <c r="C16" s="38">
        <v>14.850000000000001</v>
      </c>
      <c r="D16" s="38">
        <v>9.26</v>
      </c>
      <c r="E16" s="38">
        <v>4.04</v>
      </c>
      <c r="F16" s="38">
        <v>1.55</v>
      </c>
      <c r="G16" s="38"/>
      <c r="H16" s="38"/>
      <c r="I16" s="38"/>
      <c r="J16" s="38"/>
      <c r="K16" s="38"/>
      <c r="L16" s="38"/>
      <c r="M16" s="38"/>
      <c r="N16" s="38">
        <v>9.6</v>
      </c>
      <c r="O16" s="38" t="s">
        <v>123</v>
      </c>
      <c r="P16" s="38" t="s">
        <v>123</v>
      </c>
      <c r="Q16" s="38" t="s">
        <v>123</v>
      </c>
      <c r="R16" s="38" t="s">
        <v>123</v>
      </c>
      <c r="S16" s="38">
        <v>85.15</v>
      </c>
      <c r="T16" s="52" t="str">
        <f t="shared" si="0"/>
        <v>Good</v>
      </c>
      <c r="W16" s="47"/>
      <c r="X16" s="47"/>
      <c r="Y16" s="47"/>
    </row>
    <row r="17" spans="1:26" ht="16.8" thickTop="1" thickBot="1" x14ac:dyDescent="0.35">
      <c r="A17" s="37" t="s">
        <v>134</v>
      </c>
      <c r="B17" s="38">
        <v>627</v>
      </c>
      <c r="C17" s="38">
        <v>15.2</v>
      </c>
      <c r="D17" s="38">
        <v>13.58</v>
      </c>
      <c r="E17" s="38">
        <v>1.62</v>
      </c>
      <c r="F17" s="38"/>
      <c r="G17" s="38"/>
      <c r="H17" s="38"/>
      <c r="I17" s="38"/>
      <c r="J17" s="38"/>
      <c r="K17" s="38"/>
      <c r="L17" s="38"/>
      <c r="M17" s="38"/>
      <c r="N17" s="38">
        <v>9.19</v>
      </c>
      <c r="O17" s="38" t="s">
        <v>123</v>
      </c>
      <c r="P17" s="38" t="s">
        <v>123</v>
      </c>
      <c r="Q17" s="38" t="s">
        <v>123</v>
      </c>
      <c r="R17" s="38" t="s">
        <v>123</v>
      </c>
      <c r="S17" s="38">
        <v>84.8</v>
      </c>
      <c r="T17" s="52" t="str">
        <f t="shared" si="0"/>
        <v>Satisfactory</v>
      </c>
      <c r="W17" s="47"/>
      <c r="X17" s="47"/>
      <c r="Y17" s="47"/>
      <c r="Z17" s="47"/>
    </row>
    <row r="18" spans="1:26" ht="16.2" thickTop="1" x14ac:dyDescent="0.3">
      <c r="A18" s="35" t="s">
        <v>32</v>
      </c>
      <c r="B18" s="34">
        <v>621</v>
      </c>
      <c r="C18" s="34" t="s">
        <v>123</v>
      </c>
      <c r="D18" s="34">
        <v>11.98</v>
      </c>
      <c r="E18" s="34">
        <v>11.23</v>
      </c>
      <c r="F18" s="34">
        <v>7.1</v>
      </c>
      <c r="G18" s="34">
        <v>6.9</v>
      </c>
      <c r="H18" s="34"/>
      <c r="I18" s="34"/>
      <c r="J18" s="34"/>
      <c r="K18" s="34"/>
      <c r="L18" s="34"/>
      <c r="M18" s="34"/>
      <c r="N18" s="34">
        <v>9.34</v>
      </c>
      <c r="O18" s="34">
        <v>37.21</v>
      </c>
      <c r="P18" s="34">
        <v>4</v>
      </c>
      <c r="Q18" s="34">
        <v>13.58</v>
      </c>
      <c r="R18" s="34">
        <v>1</v>
      </c>
      <c r="S18" s="34"/>
      <c r="T18" s="49" t="str">
        <f t="shared" si="0"/>
        <v/>
      </c>
      <c r="W18" s="47"/>
      <c r="X18" s="47"/>
      <c r="Y18" s="47"/>
      <c r="Z18" s="47"/>
    </row>
    <row r="19" spans="1:26" x14ac:dyDescent="0.3">
      <c r="A19" s="33" t="s">
        <v>32</v>
      </c>
      <c r="B19" s="31">
        <v>621</v>
      </c>
      <c r="C19" s="31" t="s">
        <v>123</v>
      </c>
      <c r="D19" s="31">
        <v>11.98</v>
      </c>
      <c r="E19" s="31">
        <v>11.23</v>
      </c>
      <c r="F19" s="31">
        <v>7.1</v>
      </c>
      <c r="G19" s="31">
        <v>5</v>
      </c>
      <c r="H19" s="31"/>
      <c r="I19" s="31"/>
      <c r="J19" s="31"/>
      <c r="K19" s="31"/>
      <c r="L19" s="31"/>
      <c r="M19" s="31"/>
      <c r="N19" s="31">
        <v>9.34</v>
      </c>
      <c r="O19" s="31">
        <v>35.31</v>
      </c>
      <c r="P19" s="31">
        <v>3</v>
      </c>
      <c r="Q19" s="31">
        <v>18.05</v>
      </c>
      <c r="R19" s="31">
        <v>2</v>
      </c>
      <c r="S19" s="31"/>
      <c r="T19" s="51" t="str">
        <f t="shared" si="0"/>
        <v/>
      </c>
      <c r="W19" s="47"/>
      <c r="X19" s="47"/>
      <c r="Y19" s="47"/>
    </row>
    <row r="20" spans="1:26" x14ac:dyDescent="0.3">
      <c r="A20" s="33" t="s">
        <v>32</v>
      </c>
      <c r="B20" s="31">
        <v>621</v>
      </c>
      <c r="C20" s="31" t="s">
        <v>123</v>
      </c>
      <c r="D20" s="31">
        <v>11.98</v>
      </c>
      <c r="E20" s="31">
        <v>11.23</v>
      </c>
      <c r="F20" s="31">
        <v>5</v>
      </c>
      <c r="G20" s="31">
        <v>5</v>
      </c>
      <c r="H20" s="31"/>
      <c r="I20" s="31"/>
      <c r="J20" s="31"/>
      <c r="K20" s="31"/>
      <c r="L20" s="31"/>
      <c r="M20" s="31"/>
      <c r="N20" s="31">
        <v>9.34</v>
      </c>
      <c r="O20" s="31">
        <v>33.21</v>
      </c>
      <c r="P20" s="31">
        <v>2</v>
      </c>
      <c r="Q20" s="31">
        <v>20.32</v>
      </c>
      <c r="R20" s="31">
        <v>3</v>
      </c>
      <c r="S20" s="31"/>
      <c r="T20" s="51" t="str">
        <f t="shared" si="0"/>
        <v/>
      </c>
    </row>
    <row r="21" spans="1:26" ht="16.2" thickBot="1" x14ac:dyDescent="0.35">
      <c r="A21" s="36" t="s">
        <v>32</v>
      </c>
      <c r="B21" s="32">
        <v>621</v>
      </c>
      <c r="C21" s="32" t="s">
        <v>123</v>
      </c>
      <c r="D21" s="32">
        <v>11.98</v>
      </c>
      <c r="E21" s="32">
        <v>5</v>
      </c>
      <c r="F21" s="32">
        <v>5</v>
      </c>
      <c r="G21" s="32">
        <v>5</v>
      </c>
      <c r="H21" s="32"/>
      <c r="I21" s="32"/>
      <c r="J21" s="32"/>
      <c r="K21" s="32"/>
      <c r="L21" s="32"/>
      <c r="M21" s="32"/>
      <c r="N21" s="32">
        <v>9.34</v>
      </c>
      <c r="O21" s="32">
        <v>26.98</v>
      </c>
      <c r="P21" s="32">
        <v>1</v>
      </c>
      <c r="Q21" s="32">
        <v>26.7</v>
      </c>
      <c r="R21" s="32">
        <v>4</v>
      </c>
      <c r="S21" s="32">
        <v>73.3</v>
      </c>
      <c r="T21" s="50" t="str">
        <f t="shared" si="0"/>
        <v>Satisfactory</v>
      </c>
    </row>
    <row r="22" spans="1:26" ht="16.2" thickTop="1" x14ac:dyDescent="0.3">
      <c r="A22" s="35" t="s">
        <v>33</v>
      </c>
      <c r="B22" s="34">
        <v>690</v>
      </c>
      <c r="C22" s="34" t="s">
        <v>123</v>
      </c>
      <c r="D22" s="34">
        <v>17.850000000000001</v>
      </c>
      <c r="E22" s="34">
        <v>11.32</v>
      </c>
      <c r="F22" s="34">
        <v>6.39</v>
      </c>
      <c r="G22" s="34">
        <v>5.91</v>
      </c>
      <c r="H22" s="34">
        <v>4.1900000000000004</v>
      </c>
      <c r="I22" s="34"/>
      <c r="J22" s="34"/>
      <c r="K22" s="34"/>
      <c r="L22" s="34"/>
      <c r="M22" s="34"/>
      <c r="N22" s="34">
        <v>8.7799999999999994</v>
      </c>
      <c r="O22" s="34">
        <v>45.66</v>
      </c>
      <c r="P22" s="34">
        <v>4</v>
      </c>
      <c r="Q22" s="34">
        <v>19.440000000000001</v>
      </c>
      <c r="R22" s="34">
        <v>1</v>
      </c>
      <c r="S22" s="34"/>
      <c r="T22" s="49" t="str">
        <f t="shared" si="0"/>
        <v/>
      </c>
    </row>
    <row r="23" spans="1:26" x14ac:dyDescent="0.3">
      <c r="A23" s="33" t="s">
        <v>33</v>
      </c>
      <c r="B23" s="31">
        <v>690</v>
      </c>
      <c r="C23" s="31" t="s">
        <v>123</v>
      </c>
      <c r="D23" s="31">
        <v>17.850000000000001</v>
      </c>
      <c r="E23" s="31">
        <v>11.32</v>
      </c>
      <c r="F23" s="31">
        <v>6.39</v>
      </c>
      <c r="G23" s="31">
        <v>5</v>
      </c>
      <c r="H23" s="31">
        <v>4.1900000000000004</v>
      </c>
      <c r="I23" s="31"/>
      <c r="J23" s="31"/>
      <c r="K23" s="31"/>
      <c r="L23" s="31"/>
      <c r="M23" s="31"/>
      <c r="N23" s="31">
        <v>8.7799999999999994</v>
      </c>
      <c r="O23" s="31">
        <v>44.75</v>
      </c>
      <c r="P23" s="31">
        <v>3</v>
      </c>
      <c r="Q23" s="31">
        <v>25.2</v>
      </c>
      <c r="R23" s="31">
        <v>2</v>
      </c>
      <c r="S23" s="31"/>
      <c r="T23" s="51" t="str">
        <f t="shared" si="0"/>
        <v/>
      </c>
    </row>
    <row r="24" spans="1:26" x14ac:dyDescent="0.3">
      <c r="A24" s="33" t="s">
        <v>33</v>
      </c>
      <c r="B24" s="31">
        <v>690</v>
      </c>
      <c r="C24" s="31" t="s">
        <v>123</v>
      </c>
      <c r="D24" s="31">
        <v>17.850000000000001</v>
      </c>
      <c r="E24" s="31">
        <v>11.32</v>
      </c>
      <c r="F24" s="31">
        <v>5</v>
      </c>
      <c r="G24" s="31">
        <v>5</v>
      </c>
      <c r="H24" s="31">
        <v>4.1900000000000004</v>
      </c>
      <c r="I24" s="31"/>
      <c r="J24" s="31"/>
      <c r="K24" s="31"/>
      <c r="L24" s="31"/>
      <c r="M24" s="31"/>
      <c r="N24" s="31">
        <v>8.7799999999999994</v>
      </c>
      <c r="O24" s="31">
        <v>43.36</v>
      </c>
      <c r="P24" s="31">
        <v>2</v>
      </c>
      <c r="Q24" s="31">
        <v>28.15</v>
      </c>
      <c r="R24" s="31">
        <v>3</v>
      </c>
      <c r="S24" s="31"/>
      <c r="T24" s="51" t="str">
        <f t="shared" si="0"/>
        <v/>
      </c>
    </row>
    <row r="25" spans="1:26" ht="16.2" thickBot="1" x14ac:dyDescent="0.35">
      <c r="A25" s="36" t="s">
        <v>33</v>
      </c>
      <c r="B25" s="32">
        <v>690</v>
      </c>
      <c r="C25" s="32" t="s">
        <v>123</v>
      </c>
      <c r="D25" s="32">
        <v>17.850000000000001</v>
      </c>
      <c r="E25" s="32">
        <v>5</v>
      </c>
      <c r="F25" s="32">
        <v>5</v>
      </c>
      <c r="G25" s="32">
        <v>5</v>
      </c>
      <c r="H25" s="32">
        <v>4.1900000000000004</v>
      </c>
      <c r="I25" s="32"/>
      <c r="J25" s="32"/>
      <c r="K25" s="32"/>
      <c r="L25" s="32"/>
      <c r="M25" s="32"/>
      <c r="N25" s="32">
        <v>8.7799999999999994</v>
      </c>
      <c r="O25" s="32">
        <v>37.04</v>
      </c>
      <c r="P25" s="32">
        <v>1</v>
      </c>
      <c r="Q25" s="32">
        <v>36.75</v>
      </c>
      <c r="R25" s="32">
        <v>4</v>
      </c>
      <c r="S25" s="32">
        <v>63.25</v>
      </c>
      <c r="T25" s="50" t="str">
        <f t="shared" si="0"/>
        <v>Fair</v>
      </c>
    </row>
    <row r="26" spans="1:26" ht="16.2" thickTop="1" x14ac:dyDescent="0.3">
      <c r="A26" s="35" t="s">
        <v>34</v>
      </c>
      <c r="B26" s="34">
        <v>627</v>
      </c>
      <c r="C26" s="34" t="s">
        <v>123</v>
      </c>
      <c r="D26" s="34">
        <v>15.26</v>
      </c>
      <c r="E26" s="34">
        <v>14.53</v>
      </c>
      <c r="F26" s="34">
        <v>13.7</v>
      </c>
      <c r="G26" s="34"/>
      <c r="H26" s="34"/>
      <c r="I26" s="34"/>
      <c r="J26" s="34"/>
      <c r="K26" s="34"/>
      <c r="L26" s="34"/>
      <c r="M26" s="34"/>
      <c r="N26" s="34">
        <v>9.0299999999999994</v>
      </c>
      <c r="O26" s="34">
        <v>43.49</v>
      </c>
      <c r="P26" s="34">
        <v>3</v>
      </c>
      <c r="Q26" s="34">
        <v>24.26</v>
      </c>
      <c r="R26" s="34">
        <v>1</v>
      </c>
      <c r="S26" s="34"/>
      <c r="T26" s="49" t="str">
        <f t="shared" si="0"/>
        <v/>
      </c>
    </row>
    <row r="27" spans="1:26" x14ac:dyDescent="0.3">
      <c r="A27" s="33" t="s">
        <v>34</v>
      </c>
      <c r="B27" s="31">
        <v>627</v>
      </c>
      <c r="C27" s="31" t="s">
        <v>123</v>
      </c>
      <c r="D27" s="31">
        <v>15.26</v>
      </c>
      <c r="E27" s="31">
        <v>14.53</v>
      </c>
      <c r="F27" s="31">
        <v>5</v>
      </c>
      <c r="G27" s="31"/>
      <c r="H27" s="31"/>
      <c r="I27" s="31"/>
      <c r="J27" s="31"/>
      <c r="K27" s="31"/>
      <c r="L27" s="31"/>
      <c r="M27" s="31"/>
      <c r="N27" s="31">
        <v>9.0299999999999994</v>
      </c>
      <c r="O27" s="31">
        <v>34.79</v>
      </c>
      <c r="P27" s="31">
        <v>2</v>
      </c>
      <c r="Q27" s="31">
        <v>21.56</v>
      </c>
      <c r="R27" s="31">
        <v>2</v>
      </c>
      <c r="S27" s="31"/>
      <c r="T27" s="51" t="str">
        <f t="shared" si="0"/>
        <v/>
      </c>
    </row>
    <row r="28" spans="1:26" ht="16.2" thickBot="1" x14ac:dyDescent="0.35">
      <c r="A28" s="36" t="s">
        <v>34</v>
      </c>
      <c r="B28" s="32">
        <v>627</v>
      </c>
      <c r="C28" s="32" t="s">
        <v>123</v>
      </c>
      <c r="D28" s="32">
        <v>15.26</v>
      </c>
      <c r="E28" s="32">
        <v>5</v>
      </c>
      <c r="F28" s="32">
        <v>5</v>
      </c>
      <c r="G28" s="32"/>
      <c r="H28" s="32"/>
      <c r="I28" s="32"/>
      <c r="J28" s="32"/>
      <c r="K28" s="32"/>
      <c r="L28" s="32"/>
      <c r="M28" s="32"/>
      <c r="N28" s="32">
        <v>9.0299999999999994</v>
      </c>
      <c r="O28" s="32">
        <v>25.26</v>
      </c>
      <c r="P28" s="32">
        <v>1</v>
      </c>
      <c r="Q28" s="32">
        <v>24.98</v>
      </c>
      <c r="R28" s="32">
        <v>3</v>
      </c>
      <c r="S28" s="32">
        <v>75.02</v>
      </c>
      <c r="T28" s="50" t="str">
        <f t="shared" si="0"/>
        <v>Satisfactory</v>
      </c>
    </row>
    <row r="29" spans="1:26" ht="16.2" thickTop="1" x14ac:dyDescent="0.3">
      <c r="A29" s="35" t="s">
        <v>35</v>
      </c>
      <c r="B29" s="34">
        <v>621</v>
      </c>
      <c r="C29" s="34" t="s">
        <v>123</v>
      </c>
      <c r="D29" s="34">
        <v>9.93</v>
      </c>
      <c r="E29" s="34">
        <v>9.3000000000000007</v>
      </c>
      <c r="F29" s="34">
        <v>6.45</v>
      </c>
      <c r="G29" s="34">
        <v>4.08</v>
      </c>
      <c r="H29" s="34">
        <v>1.75</v>
      </c>
      <c r="I29" s="34"/>
      <c r="J29" s="34"/>
      <c r="K29" s="34"/>
      <c r="L29" s="34"/>
      <c r="M29" s="34"/>
      <c r="N29" s="34">
        <v>9.5299999999999994</v>
      </c>
      <c r="O29" s="34">
        <v>31.51</v>
      </c>
      <c r="P29" s="34">
        <v>3</v>
      </c>
      <c r="Q29" s="34">
        <v>15.09</v>
      </c>
      <c r="R29" s="34">
        <v>1</v>
      </c>
      <c r="S29" s="34"/>
      <c r="T29" s="49" t="str">
        <f t="shared" si="0"/>
        <v/>
      </c>
    </row>
    <row r="30" spans="1:26" x14ac:dyDescent="0.3">
      <c r="A30" s="33" t="s">
        <v>35</v>
      </c>
      <c r="B30" s="31">
        <v>621</v>
      </c>
      <c r="C30" s="31" t="s">
        <v>123</v>
      </c>
      <c r="D30" s="31">
        <v>9.93</v>
      </c>
      <c r="E30" s="31">
        <v>9.3000000000000007</v>
      </c>
      <c r="F30" s="31">
        <v>5</v>
      </c>
      <c r="G30" s="31">
        <v>4.08</v>
      </c>
      <c r="H30" s="31">
        <v>1.75</v>
      </c>
      <c r="I30" s="31"/>
      <c r="J30" s="31"/>
      <c r="K30" s="31"/>
      <c r="L30" s="31"/>
      <c r="M30" s="31"/>
      <c r="N30" s="31">
        <v>9.5299999999999994</v>
      </c>
      <c r="O30" s="31">
        <v>30.06</v>
      </c>
      <c r="P30" s="31">
        <v>2</v>
      </c>
      <c r="Q30" s="31">
        <v>17.850000000000001</v>
      </c>
      <c r="R30" s="31">
        <v>2</v>
      </c>
      <c r="S30" s="31"/>
      <c r="T30" s="51" t="str">
        <f t="shared" si="0"/>
        <v/>
      </c>
    </row>
    <row r="31" spans="1:26" ht="16.2" thickBot="1" x14ac:dyDescent="0.35">
      <c r="A31" s="36" t="s">
        <v>35</v>
      </c>
      <c r="B31" s="32">
        <v>621</v>
      </c>
      <c r="C31" s="32" t="s">
        <v>123</v>
      </c>
      <c r="D31" s="32">
        <v>9.93</v>
      </c>
      <c r="E31" s="32">
        <v>5</v>
      </c>
      <c r="F31" s="32">
        <v>5</v>
      </c>
      <c r="G31" s="32">
        <v>4.08</v>
      </c>
      <c r="H31" s="32">
        <v>1.75</v>
      </c>
      <c r="I31" s="32"/>
      <c r="J31" s="32"/>
      <c r="K31" s="32"/>
      <c r="L31" s="32"/>
      <c r="M31" s="32"/>
      <c r="N31" s="32">
        <v>9.5299999999999994</v>
      </c>
      <c r="O31" s="32">
        <v>25.76</v>
      </c>
      <c r="P31" s="32">
        <v>1</v>
      </c>
      <c r="Q31" s="32">
        <v>25.48</v>
      </c>
      <c r="R31" s="32">
        <v>3</v>
      </c>
      <c r="S31" s="32">
        <v>74.52</v>
      </c>
      <c r="T31" s="50" t="str">
        <f t="shared" si="0"/>
        <v>Satisfactory</v>
      </c>
    </row>
    <row r="32" spans="1:26" ht="16.2" thickTop="1" x14ac:dyDescent="0.3">
      <c r="A32" s="35" t="s">
        <v>36</v>
      </c>
      <c r="B32" s="34">
        <v>690</v>
      </c>
      <c r="C32" s="34" t="s">
        <v>123</v>
      </c>
      <c r="D32" s="34">
        <v>11.76</v>
      </c>
      <c r="E32" s="34">
        <v>8.4700000000000006</v>
      </c>
      <c r="F32" s="34">
        <v>8.3000000000000007</v>
      </c>
      <c r="G32" s="34">
        <v>5.67</v>
      </c>
      <c r="H32" s="34">
        <v>5.24</v>
      </c>
      <c r="I32" s="34"/>
      <c r="J32" s="34"/>
      <c r="K32" s="34"/>
      <c r="L32" s="34"/>
      <c r="M32" s="34"/>
      <c r="N32" s="34">
        <v>9.36</v>
      </c>
      <c r="O32" s="34">
        <v>39.44</v>
      </c>
      <c r="P32" s="34">
        <v>5</v>
      </c>
      <c r="Q32" s="34">
        <v>15.17</v>
      </c>
      <c r="R32" s="34">
        <v>1</v>
      </c>
      <c r="S32" s="34"/>
      <c r="T32" s="49" t="str">
        <f t="shared" si="0"/>
        <v/>
      </c>
    </row>
    <row r="33" spans="1:20" x14ac:dyDescent="0.3">
      <c r="A33" s="33" t="s">
        <v>36</v>
      </c>
      <c r="B33" s="31">
        <v>690</v>
      </c>
      <c r="C33" s="31" t="s">
        <v>123</v>
      </c>
      <c r="D33" s="31">
        <v>11.76</v>
      </c>
      <c r="E33" s="31">
        <v>8.4700000000000006</v>
      </c>
      <c r="F33" s="31">
        <v>8.3000000000000007</v>
      </c>
      <c r="G33" s="31">
        <v>5.67</v>
      </c>
      <c r="H33" s="31">
        <v>5</v>
      </c>
      <c r="I33" s="31"/>
      <c r="J33" s="31"/>
      <c r="K33" s="31"/>
      <c r="L33" s="31"/>
      <c r="M33" s="31"/>
      <c r="N33" s="31">
        <v>9.36</v>
      </c>
      <c r="O33" s="31">
        <v>39.200000000000003</v>
      </c>
      <c r="P33" s="31">
        <v>4</v>
      </c>
      <c r="Q33" s="31">
        <v>14.98</v>
      </c>
      <c r="R33" s="31">
        <v>2</v>
      </c>
      <c r="S33" s="31"/>
      <c r="T33" s="51" t="str">
        <f t="shared" si="0"/>
        <v/>
      </c>
    </row>
    <row r="34" spans="1:20" x14ac:dyDescent="0.3">
      <c r="A34" s="33" t="s">
        <v>36</v>
      </c>
      <c r="B34" s="31">
        <v>690</v>
      </c>
      <c r="C34" s="31" t="s">
        <v>123</v>
      </c>
      <c r="D34" s="31">
        <v>11.76</v>
      </c>
      <c r="E34" s="31">
        <v>8.4700000000000006</v>
      </c>
      <c r="F34" s="31">
        <v>8.3000000000000007</v>
      </c>
      <c r="G34" s="31">
        <v>5</v>
      </c>
      <c r="H34" s="31">
        <v>5</v>
      </c>
      <c r="I34" s="31"/>
      <c r="J34" s="31"/>
      <c r="K34" s="31"/>
      <c r="L34" s="31"/>
      <c r="M34" s="31"/>
      <c r="N34" s="31">
        <v>9.36</v>
      </c>
      <c r="O34" s="31">
        <v>38.53</v>
      </c>
      <c r="P34" s="31">
        <v>3</v>
      </c>
      <c r="Q34" s="31">
        <v>20.52</v>
      </c>
      <c r="R34" s="31">
        <v>3</v>
      </c>
      <c r="S34" s="31"/>
      <c r="T34" s="51" t="str">
        <f t="shared" si="0"/>
        <v/>
      </c>
    </row>
    <row r="35" spans="1:20" x14ac:dyDescent="0.3">
      <c r="A35" s="33" t="s">
        <v>36</v>
      </c>
      <c r="B35" s="31">
        <v>690</v>
      </c>
      <c r="C35" s="31" t="s">
        <v>123</v>
      </c>
      <c r="D35" s="31">
        <v>11.76</v>
      </c>
      <c r="E35" s="31">
        <v>8.4700000000000006</v>
      </c>
      <c r="F35" s="31">
        <v>5</v>
      </c>
      <c r="G35" s="31">
        <v>5</v>
      </c>
      <c r="H35" s="31">
        <v>5</v>
      </c>
      <c r="I35" s="31"/>
      <c r="J35" s="31"/>
      <c r="K35" s="31"/>
      <c r="L35" s="31"/>
      <c r="M35" s="31"/>
      <c r="N35" s="31">
        <v>9.36</v>
      </c>
      <c r="O35" s="31">
        <v>35.229999999999997</v>
      </c>
      <c r="P35" s="31">
        <v>2</v>
      </c>
      <c r="Q35" s="31">
        <v>21.9</v>
      </c>
      <c r="R35" s="31">
        <v>4</v>
      </c>
      <c r="S35" s="31"/>
      <c r="T35" s="51" t="str">
        <f t="shared" si="0"/>
        <v/>
      </c>
    </row>
    <row r="36" spans="1:20" ht="16.2" thickBot="1" x14ac:dyDescent="0.35">
      <c r="A36" s="36" t="s">
        <v>36</v>
      </c>
      <c r="B36" s="32">
        <v>690</v>
      </c>
      <c r="C36" s="32" t="s">
        <v>123</v>
      </c>
      <c r="D36" s="32">
        <v>11.76</v>
      </c>
      <c r="E36" s="32">
        <v>5</v>
      </c>
      <c r="F36" s="32">
        <v>5</v>
      </c>
      <c r="G36" s="32">
        <v>5</v>
      </c>
      <c r="H36" s="32">
        <v>5</v>
      </c>
      <c r="I36" s="32"/>
      <c r="J36" s="32"/>
      <c r="K36" s="32"/>
      <c r="L36" s="32"/>
      <c r="M36" s="32"/>
      <c r="N36" s="32">
        <v>9.36</v>
      </c>
      <c r="O36" s="32">
        <v>31.76</v>
      </c>
      <c r="P36" s="32">
        <v>1</v>
      </c>
      <c r="Q36" s="32">
        <v>31.47</v>
      </c>
      <c r="R36" s="32">
        <v>5</v>
      </c>
      <c r="S36" s="32">
        <v>68.53</v>
      </c>
      <c r="T36" s="50" t="str">
        <f t="shared" si="0"/>
        <v>Fair</v>
      </c>
    </row>
    <row r="37" spans="1:20" ht="16.2" thickTop="1" x14ac:dyDescent="0.3">
      <c r="A37" s="35" t="s">
        <v>37</v>
      </c>
      <c r="B37" s="34">
        <v>627</v>
      </c>
      <c r="C37" s="34" t="s">
        <v>123</v>
      </c>
      <c r="D37" s="34">
        <v>33.89</v>
      </c>
      <c r="E37" s="34">
        <v>11.78</v>
      </c>
      <c r="F37" s="34">
        <v>6.25</v>
      </c>
      <c r="G37" s="34"/>
      <c r="H37" s="34"/>
      <c r="I37" s="34"/>
      <c r="J37" s="34"/>
      <c r="K37" s="34"/>
      <c r="L37" s="34"/>
      <c r="M37" s="34"/>
      <c r="N37" s="34">
        <v>7.26</v>
      </c>
      <c r="O37" s="34">
        <v>51.92</v>
      </c>
      <c r="P37" s="34">
        <v>3</v>
      </c>
      <c r="Q37" s="34">
        <v>30.46</v>
      </c>
      <c r="R37" s="34">
        <v>1</v>
      </c>
      <c r="S37" s="34"/>
      <c r="T37" s="49" t="str">
        <f t="shared" si="0"/>
        <v/>
      </c>
    </row>
    <row r="38" spans="1:20" x14ac:dyDescent="0.3">
      <c r="A38" s="33" t="s">
        <v>37</v>
      </c>
      <c r="B38" s="31">
        <v>627</v>
      </c>
      <c r="C38" s="31" t="s">
        <v>123</v>
      </c>
      <c r="D38" s="31">
        <v>33.89</v>
      </c>
      <c r="E38" s="31">
        <v>11.78</v>
      </c>
      <c r="F38" s="31">
        <v>5</v>
      </c>
      <c r="G38" s="31"/>
      <c r="H38" s="31"/>
      <c r="I38" s="31"/>
      <c r="J38" s="31"/>
      <c r="K38" s="31"/>
      <c r="L38" s="31"/>
      <c r="M38" s="31"/>
      <c r="N38" s="31">
        <v>7.26</v>
      </c>
      <c r="O38" s="31">
        <v>50.67</v>
      </c>
      <c r="P38" s="31">
        <v>2</v>
      </c>
      <c r="Q38" s="31">
        <v>33.64</v>
      </c>
      <c r="R38" s="31">
        <v>2</v>
      </c>
      <c r="S38" s="31"/>
      <c r="T38" s="51" t="str">
        <f t="shared" si="0"/>
        <v/>
      </c>
    </row>
    <row r="39" spans="1:20" ht="16.2" thickBot="1" x14ac:dyDescent="0.35">
      <c r="A39" s="36" t="s">
        <v>37</v>
      </c>
      <c r="B39" s="32">
        <v>627</v>
      </c>
      <c r="C39" s="32" t="s">
        <v>123</v>
      </c>
      <c r="D39" s="32">
        <v>33.89</v>
      </c>
      <c r="E39" s="32">
        <v>5</v>
      </c>
      <c r="F39" s="32">
        <v>5</v>
      </c>
      <c r="G39" s="32"/>
      <c r="H39" s="32"/>
      <c r="I39" s="32"/>
      <c r="J39" s="32"/>
      <c r="K39" s="32"/>
      <c r="L39" s="32"/>
      <c r="M39" s="32"/>
      <c r="N39" s="32">
        <v>7.26</v>
      </c>
      <c r="O39" s="32">
        <v>43.89</v>
      </c>
      <c r="P39" s="32">
        <v>1</v>
      </c>
      <c r="Q39" s="32">
        <v>43.6</v>
      </c>
      <c r="R39" s="32">
        <v>3</v>
      </c>
      <c r="S39" s="32">
        <v>56.4</v>
      </c>
      <c r="T39" s="50" t="str">
        <f t="shared" si="0"/>
        <v>Fair</v>
      </c>
    </row>
    <row r="40" spans="1:20" ht="16.2" thickTop="1" x14ac:dyDescent="0.3">
      <c r="A40" s="35" t="s">
        <v>38</v>
      </c>
      <c r="B40" s="34">
        <v>621</v>
      </c>
      <c r="C40" s="34" t="s">
        <v>123</v>
      </c>
      <c r="D40" s="34">
        <v>12.31</v>
      </c>
      <c r="E40" s="34">
        <v>8.86</v>
      </c>
      <c r="F40" s="34">
        <v>6.02</v>
      </c>
      <c r="G40" s="34">
        <v>5.91</v>
      </c>
      <c r="H40" s="34"/>
      <c r="I40" s="34"/>
      <c r="J40" s="34"/>
      <c r="K40" s="34"/>
      <c r="L40" s="34"/>
      <c r="M40" s="34"/>
      <c r="N40" s="34">
        <v>9.31</v>
      </c>
      <c r="O40" s="34">
        <v>33.1</v>
      </c>
      <c r="P40" s="34">
        <v>4</v>
      </c>
      <c r="Q40" s="34">
        <v>10.66</v>
      </c>
      <c r="R40" s="34">
        <v>1</v>
      </c>
      <c r="S40" s="34"/>
      <c r="T40" s="49" t="str">
        <f t="shared" si="0"/>
        <v/>
      </c>
    </row>
    <row r="41" spans="1:20" x14ac:dyDescent="0.3">
      <c r="A41" s="33" t="s">
        <v>38</v>
      </c>
      <c r="B41" s="31">
        <v>621</v>
      </c>
      <c r="C41" s="31" t="s">
        <v>123</v>
      </c>
      <c r="D41" s="31">
        <v>12.31</v>
      </c>
      <c r="E41" s="31">
        <v>8.86</v>
      </c>
      <c r="F41" s="31">
        <v>6.02</v>
      </c>
      <c r="G41" s="31">
        <v>5</v>
      </c>
      <c r="H41" s="31"/>
      <c r="I41" s="31"/>
      <c r="J41" s="31"/>
      <c r="K41" s="31"/>
      <c r="L41" s="31"/>
      <c r="M41" s="31"/>
      <c r="N41" s="31">
        <v>9.31</v>
      </c>
      <c r="O41" s="31">
        <v>32.19</v>
      </c>
      <c r="P41" s="31">
        <v>3</v>
      </c>
      <c r="Q41" s="31">
        <v>15.62</v>
      </c>
      <c r="R41" s="31">
        <v>2</v>
      </c>
      <c r="S41" s="31"/>
      <c r="T41" s="51" t="str">
        <f t="shared" si="0"/>
        <v/>
      </c>
    </row>
    <row r="42" spans="1:20" x14ac:dyDescent="0.3">
      <c r="A42" s="33" t="s">
        <v>38</v>
      </c>
      <c r="B42" s="31">
        <v>621</v>
      </c>
      <c r="C42" s="31" t="s">
        <v>123</v>
      </c>
      <c r="D42" s="31">
        <v>12.31</v>
      </c>
      <c r="E42" s="31">
        <v>8.86</v>
      </c>
      <c r="F42" s="31">
        <v>5</v>
      </c>
      <c r="G42" s="31">
        <v>5</v>
      </c>
      <c r="H42" s="31"/>
      <c r="I42" s="31"/>
      <c r="J42" s="31"/>
      <c r="K42" s="31"/>
      <c r="L42" s="31"/>
      <c r="M42" s="31"/>
      <c r="N42" s="31">
        <v>9.31</v>
      </c>
      <c r="O42" s="31">
        <v>31.17</v>
      </c>
      <c r="P42" s="31">
        <v>2</v>
      </c>
      <c r="Q42" s="31">
        <v>18.72</v>
      </c>
      <c r="R42" s="31">
        <v>3</v>
      </c>
      <c r="S42" s="31"/>
      <c r="T42" s="51" t="str">
        <f t="shared" si="0"/>
        <v/>
      </c>
    </row>
    <row r="43" spans="1:20" ht="16.2" thickBot="1" x14ac:dyDescent="0.35">
      <c r="A43" s="36" t="s">
        <v>38</v>
      </c>
      <c r="B43" s="32">
        <v>621</v>
      </c>
      <c r="C43" s="32" t="s">
        <v>123</v>
      </c>
      <c r="D43" s="32">
        <v>12.31</v>
      </c>
      <c r="E43" s="32">
        <v>5</v>
      </c>
      <c r="F43" s="32">
        <v>5</v>
      </c>
      <c r="G43" s="32">
        <v>5</v>
      </c>
      <c r="H43" s="32"/>
      <c r="I43" s="32"/>
      <c r="J43" s="32"/>
      <c r="K43" s="32"/>
      <c r="L43" s="32"/>
      <c r="M43" s="32"/>
      <c r="N43" s="32">
        <v>9.31</v>
      </c>
      <c r="O43" s="32">
        <v>27.31</v>
      </c>
      <c r="P43" s="32">
        <v>1</v>
      </c>
      <c r="Q43" s="32">
        <v>27.03</v>
      </c>
      <c r="R43" s="32">
        <v>4</v>
      </c>
      <c r="S43" s="32">
        <v>72.97</v>
      </c>
      <c r="T43" s="50" t="str">
        <f t="shared" si="0"/>
        <v>Satisfactory</v>
      </c>
    </row>
    <row r="44" spans="1:20" ht="16.8" thickTop="1" thickBot="1" x14ac:dyDescent="0.35">
      <c r="A44" s="37" t="s">
        <v>39</v>
      </c>
      <c r="B44" s="38">
        <v>690</v>
      </c>
      <c r="C44" s="38">
        <v>8.17</v>
      </c>
      <c r="D44" s="38">
        <v>5.45</v>
      </c>
      <c r="E44" s="38">
        <v>2.72</v>
      </c>
      <c r="F44" s="38"/>
      <c r="G44" s="38"/>
      <c r="H44" s="38"/>
      <c r="I44" s="38"/>
      <c r="J44" s="38"/>
      <c r="K44" s="38"/>
      <c r="L44" s="38"/>
      <c r="M44" s="38"/>
      <c r="N44" s="38">
        <v>9.9600000000000009</v>
      </c>
      <c r="O44" s="38" t="s">
        <v>123</v>
      </c>
      <c r="P44" s="38" t="s">
        <v>123</v>
      </c>
      <c r="Q44" s="38" t="s">
        <v>123</v>
      </c>
      <c r="R44" s="38" t="s">
        <v>123</v>
      </c>
      <c r="S44" s="38">
        <v>91.83</v>
      </c>
      <c r="T44" s="52" t="str">
        <f t="shared" si="0"/>
        <v>Good</v>
      </c>
    </row>
    <row r="45" spans="1:20" ht="16.8" thickTop="1" thickBot="1" x14ac:dyDescent="0.35">
      <c r="A45" s="37" t="s">
        <v>40</v>
      </c>
      <c r="B45" s="38">
        <v>627</v>
      </c>
      <c r="C45" s="38">
        <v>31.169999999999998</v>
      </c>
      <c r="D45" s="38">
        <v>28.9</v>
      </c>
      <c r="E45" s="38">
        <v>2.27</v>
      </c>
      <c r="F45" s="38"/>
      <c r="G45" s="38"/>
      <c r="H45" s="38"/>
      <c r="I45" s="38"/>
      <c r="J45" s="38"/>
      <c r="K45" s="38"/>
      <c r="L45" s="38"/>
      <c r="M45" s="38"/>
      <c r="N45" s="38">
        <v>7.74</v>
      </c>
      <c r="O45" s="38" t="s">
        <v>123</v>
      </c>
      <c r="P45" s="38" t="s">
        <v>123</v>
      </c>
      <c r="Q45" s="38" t="s">
        <v>123</v>
      </c>
      <c r="R45" s="38" t="s">
        <v>123</v>
      </c>
      <c r="S45" s="38">
        <v>68.83</v>
      </c>
      <c r="T45" s="52" t="str">
        <f t="shared" si="0"/>
        <v>Fair</v>
      </c>
    </row>
    <row r="46" spans="1:20" ht="16.2" thickTop="1" x14ac:dyDescent="0.3">
      <c r="A46" s="35" t="s">
        <v>41</v>
      </c>
      <c r="B46" s="34">
        <v>621</v>
      </c>
      <c r="C46" s="34" t="s">
        <v>123</v>
      </c>
      <c r="D46" s="34">
        <v>8.1300000000000008</v>
      </c>
      <c r="E46" s="34">
        <v>7.44</v>
      </c>
      <c r="F46" s="34">
        <v>3.44</v>
      </c>
      <c r="G46" s="34"/>
      <c r="H46" s="34"/>
      <c r="I46" s="34"/>
      <c r="J46" s="34"/>
      <c r="K46" s="34"/>
      <c r="L46" s="34"/>
      <c r="M46" s="34"/>
      <c r="N46" s="34">
        <v>9.6999999999999993</v>
      </c>
      <c r="O46" s="34">
        <v>19.010000000000002</v>
      </c>
      <c r="P46" s="34">
        <v>2</v>
      </c>
      <c r="Q46" s="34">
        <v>8.99</v>
      </c>
      <c r="R46" s="34">
        <v>1</v>
      </c>
      <c r="S46" s="34"/>
      <c r="T46" s="49" t="str">
        <f t="shared" si="0"/>
        <v/>
      </c>
    </row>
    <row r="47" spans="1:20" ht="16.2" thickBot="1" x14ac:dyDescent="0.35">
      <c r="A47" s="36" t="s">
        <v>41</v>
      </c>
      <c r="B47" s="32">
        <v>621</v>
      </c>
      <c r="C47" s="32" t="s">
        <v>123</v>
      </c>
      <c r="D47" s="32">
        <v>8.1300000000000008</v>
      </c>
      <c r="E47" s="32">
        <v>5</v>
      </c>
      <c r="F47" s="32">
        <v>3.44</v>
      </c>
      <c r="G47" s="32"/>
      <c r="H47" s="32"/>
      <c r="I47" s="32"/>
      <c r="J47" s="32"/>
      <c r="K47" s="32"/>
      <c r="L47" s="32"/>
      <c r="M47" s="32"/>
      <c r="N47" s="32">
        <v>9.6999999999999993</v>
      </c>
      <c r="O47" s="32">
        <v>16.57</v>
      </c>
      <c r="P47" s="32">
        <v>1</v>
      </c>
      <c r="Q47" s="32">
        <v>16.32</v>
      </c>
      <c r="R47" s="32">
        <v>2</v>
      </c>
      <c r="S47" s="32">
        <v>83.68</v>
      </c>
      <c r="T47" s="50" t="str">
        <f t="shared" si="0"/>
        <v>Satisfactory</v>
      </c>
    </row>
    <row r="48" spans="1:20" ht="16.2" thickTop="1" x14ac:dyDescent="0.3">
      <c r="A48" s="35" t="s">
        <v>42</v>
      </c>
      <c r="B48" s="34">
        <v>690</v>
      </c>
      <c r="C48" s="34" t="s">
        <v>123</v>
      </c>
      <c r="D48" s="34">
        <v>7.38</v>
      </c>
      <c r="E48" s="34">
        <v>6.62</v>
      </c>
      <c r="F48" s="34"/>
      <c r="G48" s="34"/>
      <c r="H48" s="34"/>
      <c r="I48" s="34"/>
      <c r="J48" s="34"/>
      <c r="K48" s="34"/>
      <c r="L48" s="34"/>
      <c r="M48" s="34"/>
      <c r="N48" s="34">
        <v>9.77</v>
      </c>
      <c r="O48" s="34">
        <v>14</v>
      </c>
      <c r="P48" s="34">
        <v>2</v>
      </c>
      <c r="Q48" s="34">
        <v>4.8899999999999997</v>
      </c>
      <c r="R48" s="34">
        <v>1</v>
      </c>
      <c r="S48" s="34"/>
      <c r="T48" s="49" t="str">
        <f t="shared" si="0"/>
        <v/>
      </c>
    </row>
    <row r="49" spans="1:20" ht="16.2" thickBot="1" x14ac:dyDescent="0.35">
      <c r="A49" s="36" t="s">
        <v>42</v>
      </c>
      <c r="B49" s="32">
        <v>690</v>
      </c>
      <c r="C49" s="32" t="s">
        <v>123</v>
      </c>
      <c r="D49" s="32">
        <v>7.38</v>
      </c>
      <c r="E49" s="32">
        <v>5</v>
      </c>
      <c r="F49" s="32"/>
      <c r="G49" s="32"/>
      <c r="H49" s="32"/>
      <c r="I49" s="32"/>
      <c r="J49" s="32"/>
      <c r="K49" s="32"/>
      <c r="L49" s="32"/>
      <c r="M49" s="32"/>
      <c r="N49" s="32">
        <v>9.77</v>
      </c>
      <c r="O49" s="32">
        <v>12.38</v>
      </c>
      <c r="P49" s="32">
        <v>1</v>
      </c>
      <c r="Q49" s="32">
        <v>12.15</v>
      </c>
      <c r="R49" s="32">
        <v>2</v>
      </c>
      <c r="S49" s="32">
        <v>87.85</v>
      </c>
      <c r="T49" s="50" t="str">
        <f t="shared" si="0"/>
        <v>Good</v>
      </c>
    </row>
    <row r="50" spans="1:20" ht="16.2" thickTop="1" x14ac:dyDescent="0.3">
      <c r="A50" s="35" t="s">
        <v>43</v>
      </c>
      <c r="B50" s="34">
        <v>627</v>
      </c>
      <c r="C50" s="34" t="s">
        <v>123</v>
      </c>
      <c r="D50" s="34">
        <v>15.84</v>
      </c>
      <c r="E50" s="34">
        <v>15.39</v>
      </c>
      <c r="F50" s="34">
        <v>7.05</v>
      </c>
      <c r="G50" s="34">
        <v>5.22</v>
      </c>
      <c r="H50" s="34"/>
      <c r="I50" s="34"/>
      <c r="J50" s="34"/>
      <c r="K50" s="34"/>
      <c r="L50" s="34"/>
      <c r="M50" s="34"/>
      <c r="N50" s="34">
        <v>8.9700000000000006</v>
      </c>
      <c r="O50" s="34">
        <v>43.5</v>
      </c>
      <c r="P50" s="34">
        <v>4</v>
      </c>
      <c r="Q50" s="34">
        <v>17.96</v>
      </c>
      <c r="R50" s="34">
        <v>1</v>
      </c>
      <c r="S50" s="34"/>
      <c r="T50" s="49" t="str">
        <f t="shared" si="0"/>
        <v/>
      </c>
    </row>
    <row r="51" spans="1:20" x14ac:dyDescent="0.3">
      <c r="A51" s="33" t="s">
        <v>43</v>
      </c>
      <c r="B51" s="31">
        <v>627</v>
      </c>
      <c r="C51" s="31" t="s">
        <v>123</v>
      </c>
      <c r="D51" s="31">
        <v>15.84</v>
      </c>
      <c r="E51" s="31">
        <v>15.39</v>
      </c>
      <c r="F51" s="31">
        <v>7.05</v>
      </c>
      <c r="G51" s="31">
        <v>5</v>
      </c>
      <c r="H51" s="31"/>
      <c r="I51" s="31"/>
      <c r="J51" s="31"/>
      <c r="K51" s="31"/>
      <c r="L51" s="31"/>
      <c r="M51" s="31"/>
      <c r="N51" s="31">
        <v>8.9700000000000006</v>
      </c>
      <c r="O51" s="31">
        <v>43.28</v>
      </c>
      <c r="P51" s="31">
        <v>3</v>
      </c>
      <c r="Q51" s="31">
        <v>24.11</v>
      </c>
      <c r="R51" s="31">
        <v>2</v>
      </c>
      <c r="S51" s="31"/>
      <c r="T51" s="51" t="str">
        <f t="shared" si="0"/>
        <v/>
      </c>
    </row>
    <row r="52" spans="1:20" x14ac:dyDescent="0.3">
      <c r="A52" s="33" t="s">
        <v>43</v>
      </c>
      <c r="B52" s="31">
        <v>627</v>
      </c>
      <c r="C52" s="31" t="s">
        <v>123</v>
      </c>
      <c r="D52" s="31">
        <v>15.84</v>
      </c>
      <c r="E52" s="31">
        <v>15.39</v>
      </c>
      <c r="F52" s="31">
        <v>5</v>
      </c>
      <c r="G52" s="31">
        <v>5</v>
      </c>
      <c r="H52" s="31"/>
      <c r="I52" s="31"/>
      <c r="J52" s="31"/>
      <c r="K52" s="31"/>
      <c r="L52" s="31"/>
      <c r="M52" s="31"/>
      <c r="N52" s="31">
        <v>8.9700000000000006</v>
      </c>
      <c r="O52" s="31">
        <v>41.23</v>
      </c>
      <c r="P52" s="31">
        <v>2</v>
      </c>
      <c r="Q52" s="31">
        <v>26.52</v>
      </c>
      <c r="R52" s="31">
        <v>3</v>
      </c>
      <c r="S52" s="31"/>
      <c r="T52" s="51" t="str">
        <f t="shared" si="0"/>
        <v/>
      </c>
    </row>
    <row r="53" spans="1:20" ht="16.2" thickBot="1" x14ac:dyDescent="0.35">
      <c r="A53" s="36" t="s">
        <v>43</v>
      </c>
      <c r="B53" s="32">
        <v>627</v>
      </c>
      <c r="C53" s="32" t="s">
        <v>123</v>
      </c>
      <c r="D53" s="32">
        <v>15.84</v>
      </c>
      <c r="E53" s="32">
        <v>5</v>
      </c>
      <c r="F53" s="32">
        <v>5</v>
      </c>
      <c r="G53" s="32">
        <v>5</v>
      </c>
      <c r="H53" s="32"/>
      <c r="I53" s="32"/>
      <c r="J53" s="32"/>
      <c r="K53" s="32"/>
      <c r="L53" s="32"/>
      <c r="M53" s="32"/>
      <c r="N53" s="32">
        <v>8.9700000000000006</v>
      </c>
      <c r="O53" s="32">
        <v>30.84</v>
      </c>
      <c r="P53" s="32">
        <v>1</v>
      </c>
      <c r="Q53" s="32">
        <v>30.55</v>
      </c>
      <c r="R53" s="32">
        <v>4</v>
      </c>
      <c r="S53" s="32">
        <v>69.45</v>
      </c>
      <c r="T53" s="50" t="str">
        <f t="shared" si="0"/>
        <v>Fair</v>
      </c>
    </row>
    <row r="54" spans="1:20" ht="16.2" thickTop="1" x14ac:dyDescent="0.3">
      <c r="A54" s="35" t="s">
        <v>44</v>
      </c>
      <c r="B54" s="34">
        <v>621</v>
      </c>
      <c r="C54" s="34" t="s">
        <v>123</v>
      </c>
      <c r="D54" s="34">
        <v>9.61</v>
      </c>
      <c r="E54" s="34">
        <v>6.13</v>
      </c>
      <c r="F54" s="34"/>
      <c r="G54" s="34"/>
      <c r="H54" s="34"/>
      <c r="I54" s="34"/>
      <c r="J54" s="34"/>
      <c r="K54" s="34"/>
      <c r="L54" s="34"/>
      <c r="M54" s="34"/>
      <c r="N54" s="34">
        <v>9.56</v>
      </c>
      <c r="O54" s="34">
        <v>15.74</v>
      </c>
      <c r="P54" s="34">
        <v>2</v>
      </c>
      <c r="Q54" s="34">
        <v>6.32</v>
      </c>
      <c r="R54" s="34">
        <v>1</v>
      </c>
      <c r="S54" s="34"/>
      <c r="T54" s="49" t="str">
        <f t="shared" si="0"/>
        <v/>
      </c>
    </row>
    <row r="55" spans="1:20" ht="16.2" thickBot="1" x14ac:dyDescent="0.35">
      <c r="A55" s="36" t="s">
        <v>44</v>
      </c>
      <c r="B55" s="32">
        <v>621</v>
      </c>
      <c r="C55" s="32" t="s">
        <v>123</v>
      </c>
      <c r="D55" s="32">
        <v>9.61</v>
      </c>
      <c r="E55" s="32">
        <v>5</v>
      </c>
      <c r="F55" s="32"/>
      <c r="G55" s="32"/>
      <c r="H55" s="32"/>
      <c r="I55" s="32"/>
      <c r="J55" s="32"/>
      <c r="K55" s="32"/>
      <c r="L55" s="32"/>
      <c r="M55" s="32"/>
      <c r="N55" s="32">
        <v>9.56</v>
      </c>
      <c r="O55" s="32">
        <v>14.61</v>
      </c>
      <c r="P55" s="32">
        <v>1</v>
      </c>
      <c r="Q55" s="32">
        <v>14.37</v>
      </c>
      <c r="R55" s="32">
        <v>2</v>
      </c>
      <c r="S55" s="32">
        <v>85.63</v>
      </c>
      <c r="T55" s="50" t="str">
        <f t="shared" si="0"/>
        <v>Good</v>
      </c>
    </row>
    <row r="56" spans="1:20" ht="16.2" thickTop="1" x14ac:dyDescent="0.3">
      <c r="A56" s="35" t="s">
        <v>45</v>
      </c>
      <c r="B56" s="34">
        <v>690</v>
      </c>
      <c r="C56" s="34" t="s">
        <v>123</v>
      </c>
      <c r="D56" s="34">
        <v>14.14</v>
      </c>
      <c r="E56" s="34">
        <v>13.58</v>
      </c>
      <c r="F56" s="34">
        <v>11.9</v>
      </c>
      <c r="G56" s="34">
        <v>8.27</v>
      </c>
      <c r="H56" s="34">
        <v>5.91</v>
      </c>
      <c r="I56" s="34">
        <v>5.64</v>
      </c>
      <c r="J56" s="34">
        <v>4.1900000000000004</v>
      </c>
      <c r="K56" s="34"/>
      <c r="L56" s="34"/>
      <c r="M56" s="34"/>
      <c r="N56" s="34">
        <v>9.1300000000000008</v>
      </c>
      <c r="O56" s="34">
        <v>63.63</v>
      </c>
      <c r="P56" s="34">
        <v>6</v>
      </c>
      <c r="Q56" s="34">
        <v>31.34</v>
      </c>
      <c r="R56" s="34">
        <v>1</v>
      </c>
      <c r="S56" s="34"/>
      <c r="T56" s="49" t="str">
        <f t="shared" si="0"/>
        <v/>
      </c>
    </row>
    <row r="57" spans="1:20" x14ac:dyDescent="0.3">
      <c r="A57" s="33" t="s">
        <v>45</v>
      </c>
      <c r="B57" s="31">
        <v>690</v>
      </c>
      <c r="C57" s="31" t="s">
        <v>123</v>
      </c>
      <c r="D57" s="31">
        <v>14.14</v>
      </c>
      <c r="E57" s="31">
        <v>13.58</v>
      </c>
      <c r="F57" s="31">
        <v>11.9</v>
      </c>
      <c r="G57" s="31">
        <v>8.27</v>
      </c>
      <c r="H57" s="31">
        <v>5.91</v>
      </c>
      <c r="I57" s="31">
        <v>5</v>
      </c>
      <c r="J57" s="31">
        <v>4.1900000000000004</v>
      </c>
      <c r="K57" s="31"/>
      <c r="L57" s="31"/>
      <c r="M57" s="31"/>
      <c r="N57" s="31">
        <v>9.1300000000000008</v>
      </c>
      <c r="O57" s="31">
        <v>62.99</v>
      </c>
      <c r="P57" s="31">
        <v>5</v>
      </c>
      <c r="Q57" s="31">
        <v>30.88</v>
      </c>
      <c r="R57" s="31">
        <v>2</v>
      </c>
      <c r="S57" s="31"/>
      <c r="T57" s="51" t="str">
        <f t="shared" si="0"/>
        <v/>
      </c>
    </row>
    <row r="58" spans="1:20" x14ac:dyDescent="0.3">
      <c r="A58" s="33" t="s">
        <v>45</v>
      </c>
      <c r="B58" s="31">
        <v>690</v>
      </c>
      <c r="C58" s="31" t="s">
        <v>123</v>
      </c>
      <c r="D58" s="31">
        <v>14.14</v>
      </c>
      <c r="E58" s="31">
        <v>13.58</v>
      </c>
      <c r="F58" s="31">
        <v>11.9</v>
      </c>
      <c r="G58" s="31">
        <v>8.27</v>
      </c>
      <c r="H58" s="31">
        <v>5</v>
      </c>
      <c r="I58" s="31">
        <v>5</v>
      </c>
      <c r="J58" s="31">
        <v>4.1900000000000004</v>
      </c>
      <c r="K58" s="31"/>
      <c r="L58" s="31"/>
      <c r="M58" s="31"/>
      <c r="N58" s="31">
        <v>9.1300000000000008</v>
      </c>
      <c r="O58" s="31">
        <v>62.08</v>
      </c>
      <c r="P58" s="31">
        <v>4</v>
      </c>
      <c r="Q58" s="31">
        <v>30.25</v>
      </c>
      <c r="R58" s="31">
        <v>3</v>
      </c>
      <c r="S58" s="31"/>
      <c r="T58" s="51" t="str">
        <f t="shared" si="0"/>
        <v/>
      </c>
    </row>
    <row r="59" spans="1:20" x14ac:dyDescent="0.3">
      <c r="A59" s="33" t="s">
        <v>45</v>
      </c>
      <c r="B59" s="31">
        <v>690</v>
      </c>
      <c r="C59" s="31" t="s">
        <v>123</v>
      </c>
      <c r="D59" s="31">
        <v>14.14</v>
      </c>
      <c r="E59" s="31">
        <v>13.58</v>
      </c>
      <c r="F59" s="31">
        <v>11.9</v>
      </c>
      <c r="G59" s="31">
        <v>5</v>
      </c>
      <c r="H59" s="31">
        <v>5</v>
      </c>
      <c r="I59" s="31">
        <v>5</v>
      </c>
      <c r="J59" s="31">
        <v>4.1900000000000004</v>
      </c>
      <c r="K59" s="31"/>
      <c r="L59" s="31"/>
      <c r="M59" s="31"/>
      <c r="N59" s="31">
        <v>9.1300000000000008</v>
      </c>
      <c r="O59" s="31">
        <v>58.81</v>
      </c>
      <c r="P59" s="31">
        <v>3</v>
      </c>
      <c r="Q59" s="31">
        <v>35.369999999999997</v>
      </c>
      <c r="R59" s="31">
        <v>4</v>
      </c>
      <c r="S59" s="31"/>
      <c r="T59" s="51" t="str">
        <f t="shared" si="0"/>
        <v/>
      </c>
    </row>
    <row r="60" spans="1:20" x14ac:dyDescent="0.3">
      <c r="A60" s="33" t="s">
        <v>45</v>
      </c>
      <c r="B60" s="31">
        <v>690</v>
      </c>
      <c r="C60" s="31" t="s">
        <v>123</v>
      </c>
      <c r="D60" s="31">
        <v>14.14</v>
      </c>
      <c r="E60" s="31">
        <v>13.58</v>
      </c>
      <c r="F60" s="31">
        <v>5</v>
      </c>
      <c r="G60" s="31">
        <v>5</v>
      </c>
      <c r="H60" s="31">
        <v>5</v>
      </c>
      <c r="I60" s="31">
        <v>5</v>
      </c>
      <c r="J60" s="31">
        <v>4.1900000000000004</v>
      </c>
      <c r="K60" s="31"/>
      <c r="L60" s="31"/>
      <c r="M60" s="31"/>
      <c r="N60" s="31">
        <v>9.1300000000000008</v>
      </c>
      <c r="O60" s="31">
        <v>51.91</v>
      </c>
      <c r="P60" s="31">
        <v>2</v>
      </c>
      <c r="Q60" s="31">
        <v>34.56</v>
      </c>
      <c r="R60" s="31">
        <v>5</v>
      </c>
      <c r="S60" s="31"/>
      <c r="T60" s="51" t="str">
        <f t="shared" si="0"/>
        <v/>
      </c>
    </row>
    <row r="61" spans="1:20" ht="16.2" thickBot="1" x14ac:dyDescent="0.35">
      <c r="A61" s="36" t="s">
        <v>45</v>
      </c>
      <c r="B61" s="32">
        <v>690</v>
      </c>
      <c r="C61" s="32" t="s">
        <v>123</v>
      </c>
      <c r="D61" s="32">
        <v>14.14</v>
      </c>
      <c r="E61" s="32">
        <v>5</v>
      </c>
      <c r="F61" s="32">
        <v>5</v>
      </c>
      <c r="G61" s="32">
        <v>5</v>
      </c>
      <c r="H61" s="32">
        <v>5</v>
      </c>
      <c r="I61" s="32">
        <v>5</v>
      </c>
      <c r="J61" s="32">
        <v>4.1900000000000004</v>
      </c>
      <c r="K61" s="32"/>
      <c r="L61" s="32"/>
      <c r="M61" s="32"/>
      <c r="N61" s="32">
        <v>9.1300000000000008</v>
      </c>
      <c r="O61" s="32">
        <v>43.33</v>
      </c>
      <c r="P61" s="32">
        <v>1</v>
      </c>
      <c r="Q61" s="32">
        <v>43.04</v>
      </c>
      <c r="R61" s="32">
        <v>6</v>
      </c>
      <c r="S61" s="32">
        <v>56.96</v>
      </c>
      <c r="T61" s="50" t="str">
        <f t="shared" si="0"/>
        <v>Fair</v>
      </c>
    </row>
    <row r="62" spans="1:20" ht="16.2" thickTop="1" x14ac:dyDescent="0.3">
      <c r="A62" s="35" t="s">
        <v>46</v>
      </c>
      <c r="B62" s="34">
        <v>627</v>
      </c>
      <c r="C62" s="34" t="s">
        <v>123</v>
      </c>
      <c r="D62" s="34">
        <v>7.3</v>
      </c>
      <c r="E62" s="34">
        <v>6.09</v>
      </c>
      <c r="F62" s="34">
        <v>1.51</v>
      </c>
      <c r="G62" s="34"/>
      <c r="H62" s="34"/>
      <c r="I62" s="34"/>
      <c r="J62" s="34"/>
      <c r="K62" s="34"/>
      <c r="L62" s="34"/>
      <c r="M62" s="34"/>
      <c r="N62" s="34">
        <v>9.7799999999999994</v>
      </c>
      <c r="O62" s="34">
        <v>14.9</v>
      </c>
      <c r="P62" s="34">
        <v>2</v>
      </c>
      <c r="Q62" s="34">
        <v>5.63</v>
      </c>
      <c r="R62" s="34">
        <v>1</v>
      </c>
      <c r="S62" s="34"/>
      <c r="T62" s="49" t="str">
        <f t="shared" si="0"/>
        <v/>
      </c>
    </row>
    <row r="63" spans="1:20" ht="16.2" thickBot="1" x14ac:dyDescent="0.35">
      <c r="A63" s="36" t="s">
        <v>46</v>
      </c>
      <c r="B63" s="32">
        <v>627</v>
      </c>
      <c r="C63" s="32" t="s">
        <v>123</v>
      </c>
      <c r="D63" s="32">
        <v>7.3</v>
      </c>
      <c r="E63" s="32">
        <v>5</v>
      </c>
      <c r="F63" s="32">
        <v>1.51</v>
      </c>
      <c r="G63" s="32"/>
      <c r="H63" s="32"/>
      <c r="I63" s="32"/>
      <c r="J63" s="32"/>
      <c r="K63" s="32"/>
      <c r="L63" s="32"/>
      <c r="M63" s="32"/>
      <c r="N63" s="32">
        <v>9.7799999999999994</v>
      </c>
      <c r="O63" s="32">
        <v>13.81</v>
      </c>
      <c r="P63" s="32">
        <v>1</v>
      </c>
      <c r="Q63" s="32">
        <v>13.57</v>
      </c>
      <c r="R63" s="32">
        <v>2</v>
      </c>
      <c r="S63" s="32">
        <v>86.43</v>
      </c>
      <c r="T63" s="50" t="str">
        <f t="shared" si="0"/>
        <v>Good</v>
      </c>
    </row>
    <row r="64" spans="1:20" ht="16.2" thickTop="1" x14ac:dyDescent="0.3">
      <c r="A64" s="35" t="s">
        <v>47</v>
      </c>
      <c r="B64" s="34">
        <v>621</v>
      </c>
      <c r="C64" s="34" t="s">
        <v>123</v>
      </c>
      <c r="D64" s="34">
        <v>18.28</v>
      </c>
      <c r="E64" s="34">
        <v>8.86</v>
      </c>
      <c r="F64" s="34">
        <v>8.3000000000000007</v>
      </c>
      <c r="G64" s="34">
        <v>7.92</v>
      </c>
      <c r="H64" s="34">
        <v>5.41</v>
      </c>
      <c r="I64" s="34">
        <v>0.88</v>
      </c>
      <c r="J64" s="34"/>
      <c r="K64" s="34"/>
      <c r="L64" s="34"/>
      <c r="M64" s="34"/>
      <c r="N64" s="34">
        <v>8.74</v>
      </c>
      <c r="O64" s="34">
        <v>49.65</v>
      </c>
      <c r="P64" s="34">
        <v>5</v>
      </c>
      <c r="Q64" s="34">
        <v>22.21</v>
      </c>
      <c r="R64" s="34">
        <v>1</v>
      </c>
      <c r="S64" s="34"/>
      <c r="T64" s="49" t="str">
        <f t="shared" si="0"/>
        <v/>
      </c>
    </row>
    <row r="65" spans="1:20" x14ac:dyDescent="0.3">
      <c r="A65" s="33" t="s">
        <v>47</v>
      </c>
      <c r="B65" s="31">
        <v>621</v>
      </c>
      <c r="C65" s="31" t="s">
        <v>123</v>
      </c>
      <c r="D65" s="31">
        <v>18.28</v>
      </c>
      <c r="E65" s="31">
        <v>8.86</v>
      </c>
      <c r="F65" s="31">
        <v>8.3000000000000007</v>
      </c>
      <c r="G65" s="31">
        <v>7.92</v>
      </c>
      <c r="H65" s="31">
        <v>5</v>
      </c>
      <c r="I65" s="31">
        <v>0.88</v>
      </c>
      <c r="J65" s="31"/>
      <c r="K65" s="31"/>
      <c r="L65" s="31"/>
      <c r="M65" s="31"/>
      <c r="N65" s="31">
        <v>8.74</v>
      </c>
      <c r="O65" s="31">
        <v>49.24</v>
      </c>
      <c r="P65" s="31">
        <v>4</v>
      </c>
      <c r="Q65" s="31">
        <v>21.86</v>
      </c>
      <c r="R65" s="31">
        <v>2</v>
      </c>
      <c r="S65" s="31"/>
      <c r="T65" s="51" t="str">
        <f t="shared" si="0"/>
        <v/>
      </c>
    </row>
    <row r="66" spans="1:20" x14ac:dyDescent="0.3">
      <c r="A66" s="33" t="s">
        <v>47</v>
      </c>
      <c r="B66" s="31">
        <v>621</v>
      </c>
      <c r="C66" s="31" t="s">
        <v>123</v>
      </c>
      <c r="D66" s="31">
        <v>18.28</v>
      </c>
      <c r="E66" s="31">
        <v>8.86</v>
      </c>
      <c r="F66" s="31">
        <v>8.3000000000000007</v>
      </c>
      <c r="G66" s="31">
        <v>5</v>
      </c>
      <c r="H66" s="31">
        <v>5</v>
      </c>
      <c r="I66" s="31">
        <v>0.88</v>
      </c>
      <c r="J66" s="31"/>
      <c r="K66" s="31"/>
      <c r="L66" s="31"/>
      <c r="M66" s="31"/>
      <c r="N66" s="31">
        <v>8.74</v>
      </c>
      <c r="O66" s="31">
        <v>46.32</v>
      </c>
      <c r="P66" s="31">
        <v>3</v>
      </c>
      <c r="Q66" s="31">
        <v>26.37</v>
      </c>
      <c r="R66" s="31">
        <v>3</v>
      </c>
      <c r="S66" s="31"/>
      <c r="T66" s="51" t="str">
        <f t="shared" si="0"/>
        <v/>
      </c>
    </row>
    <row r="67" spans="1:20" x14ac:dyDescent="0.3">
      <c r="A67" s="33" t="s">
        <v>47</v>
      </c>
      <c r="B67" s="31">
        <v>621</v>
      </c>
      <c r="C67" s="31" t="s">
        <v>123</v>
      </c>
      <c r="D67" s="31">
        <v>18.28</v>
      </c>
      <c r="E67" s="31">
        <v>8.86</v>
      </c>
      <c r="F67" s="31">
        <v>5</v>
      </c>
      <c r="G67" s="31">
        <v>5</v>
      </c>
      <c r="H67" s="31">
        <v>5</v>
      </c>
      <c r="I67" s="31">
        <v>0.88</v>
      </c>
      <c r="J67" s="31"/>
      <c r="K67" s="31"/>
      <c r="L67" s="31"/>
      <c r="M67" s="31"/>
      <c r="N67" s="31">
        <v>8.74</v>
      </c>
      <c r="O67" s="31">
        <v>43.02</v>
      </c>
      <c r="P67" s="31">
        <v>2</v>
      </c>
      <c r="Q67" s="31">
        <v>27.89</v>
      </c>
      <c r="R67" s="31">
        <v>4</v>
      </c>
      <c r="S67" s="31"/>
      <c r="T67" s="51" t="str">
        <f t="shared" si="0"/>
        <v/>
      </c>
    </row>
    <row r="68" spans="1:20" ht="16.2" thickBot="1" x14ac:dyDescent="0.35">
      <c r="A68" s="36" t="s">
        <v>47</v>
      </c>
      <c r="B68" s="32">
        <v>621</v>
      </c>
      <c r="C68" s="32" t="s">
        <v>123</v>
      </c>
      <c r="D68" s="32">
        <v>18.28</v>
      </c>
      <c r="E68" s="32">
        <v>5</v>
      </c>
      <c r="F68" s="32">
        <v>5</v>
      </c>
      <c r="G68" s="32">
        <v>5</v>
      </c>
      <c r="H68" s="32">
        <v>5</v>
      </c>
      <c r="I68" s="32">
        <v>0.88</v>
      </c>
      <c r="J68" s="32"/>
      <c r="K68" s="32"/>
      <c r="L68" s="32"/>
      <c r="M68" s="32"/>
      <c r="N68" s="32">
        <v>8.74</v>
      </c>
      <c r="O68" s="32">
        <v>39.159999999999997</v>
      </c>
      <c r="P68" s="32">
        <v>1</v>
      </c>
      <c r="Q68" s="32">
        <v>38.869999999999997</v>
      </c>
      <c r="R68" s="32">
        <v>5</v>
      </c>
      <c r="S68" s="32">
        <v>61.13</v>
      </c>
      <c r="T68" s="50" t="str">
        <f t="shared" si="0"/>
        <v>Fair</v>
      </c>
    </row>
    <row r="69" spans="1:20" ht="16.2" thickTop="1" x14ac:dyDescent="0.3">
      <c r="A69" s="35" t="s">
        <v>48</v>
      </c>
      <c r="B69" s="34">
        <v>690</v>
      </c>
      <c r="C69" s="34" t="s">
        <v>123</v>
      </c>
      <c r="D69" s="34">
        <v>16.96</v>
      </c>
      <c r="E69" s="34">
        <v>14.34</v>
      </c>
      <c r="F69" s="34">
        <v>10.89</v>
      </c>
      <c r="G69" s="34">
        <v>6.62</v>
      </c>
      <c r="H69" s="34">
        <v>5.77</v>
      </c>
      <c r="I69" s="34"/>
      <c r="J69" s="34"/>
      <c r="K69" s="34"/>
      <c r="L69" s="34"/>
      <c r="M69" s="34"/>
      <c r="N69" s="34">
        <v>8.8699999999999992</v>
      </c>
      <c r="O69" s="34">
        <v>54.58</v>
      </c>
      <c r="P69" s="34">
        <v>5</v>
      </c>
      <c r="Q69" s="34">
        <v>25.48</v>
      </c>
      <c r="R69" s="34">
        <v>1</v>
      </c>
      <c r="S69" s="34"/>
      <c r="T69" s="49" t="str">
        <f t="shared" ref="T69:T126" si="1">IF(S69="","",IF(AND(S69&lt;=100,S69&gt;85),"Good",IF(AND(S69&lt;=85,S69&gt;70),"Satisfactory",IF(AND(S69&lt;=70,S69&gt;55),"Fair",IF(AND(S69&lt;=55,S69&gt;40),"Poor",IF(AND(S69&lt;=40,S69&gt;25),"Very Poor",IF(AND(S69&lt;=25,S69&gt;10),"Serious",IF(AND(S69&lt;=10,S69&gt;=0),"Failed",""))))))))</f>
        <v/>
      </c>
    </row>
    <row r="70" spans="1:20" x14ac:dyDescent="0.3">
      <c r="A70" s="33" t="s">
        <v>48</v>
      </c>
      <c r="B70" s="31">
        <v>690</v>
      </c>
      <c r="C70" s="31" t="s">
        <v>123</v>
      </c>
      <c r="D70" s="31">
        <v>16.96</v>
      </c>
      <c r="E70" s="31">
        <v>14.34</v>
      </c>
      <c r="F70" s="31">
        <v>10.89</v>
      </c>
      <c r="G70" s="31">
        <v>6.62</v>
      </c>
      <c r="H70" s="31">
        <v>5</v>
      </c>
      <c r="I70" s="31"/>
      <c r="J70" s="31"/>
      <c r="K70" s="31"/>
      <c r="L70" s="31"/>
      <c r="M70" s="31"/>
      <c r="N70" s="31">
        <v>8.8699999999999992</v>
      </c>
      <c r="O70" s="31">
        <v>53.81</v>
      </c>
      <c r="P70" s="31">
        <v>4</v>
      </c>
      <c r="Q70" s="31">
        <v>24.9</v>
      </c>
      <c r="R70" s="31">
        <v>2</v>
      </c>
      <c r="S70" s="31"/>
      <c r="T70" s="51" t="str">
        <f t="shared" si="1"/>
        <v/>
      </c>
    </row>
    <row r="71" spans="1:20" x14ac:dyDescent="0.3">
      <c r="A71" s="33" t="s">
        <v>48</v>
      </c>
      <c r="B71" s="31">
        <v>690</v>
      </c>
      <c r="C71" s="31" t="s">
        <v>123</v>
      </c>
      <c r="D71" s="31">
        <v>16.96</v>
      </c>
      <c r="E71" s="31">
        <v>14.34</v>
      </c>
      <c r="F71" s="31">
        <v>10.89</v>
      </c>
      <c r="G71" s="31">
        <v>5</v>
      </c>
      <c r="H71" s="31">
        <v>5</v>
      </c>
      <c r="I71" s="31"/>
      <c r="J71" s="31"/>
      <c r="K71" s="31"/>
      <c r="L71" s="31"/>
      <c r="M71" s="31"/>
      <c r="N71" s="31">
        <v>8.8699999999999992</v>
      </c>
      <c r="O71" s="31">
        <v>52.19</v>
      </c>
      <c r="P71" s="31">
        <v>3</v>
      </c>
      <c r="Q71" s="31">
        <v>30.66</v>
      </c>
      <c r="R71" s="31">
        <v>3</v>
      </c>
      <c r="S71" s="31"/>
      <c r="T71" s="51" t="str">
        <f t="shared" si="1"/>
        <v/>
      </c>
    </row>
    <row r="72" spans="1:20" x14ac:dyDescent="0.3">
      <c r="A72" s="33" t="s">
        <v>48</v>
      </c>
      <c r="B72" s="31">
        <v>690</v>
      </c>
      <c r="C72" s="31" t="s">
        <v>123</v>
      </c>
      <c r="D72" s="31">
        <v>16.96</v>
      </c>
      <c r="E72" s="31">
        <v>14.34</v>
      </c>
      <c r="F72" s="31">
        <v>5</v>
      </c>
      <c r="G72" s="31">
        <v>5</v>
      </c>
      <c r="H72" s="31">
        <v>5</v>
      </c>
      <c r="I72" s="31"/>
      <c r="J72" s="31"/>
      <c r="K72" s="31"/>
      <c r="L72" s="31"/>
      <c r="M72" s="31"/>
      <c r="N72" s="31">
        <v>8.8699999999999992</v>
      </c>
      <c r="O72" s="31">
        <v>46.3</v>
      </c>
      <c r="P72" s="31">
        <v>2</v>
      </c>
      <c r="Q72" s="31">
        <v>30.37</v>
      </c>
      <c r="R72" s="31">
        <v>4</v>
      </c>
      <c r="S72" s="31"/>
      <c r="T72" s="51" t="str">
        <f t="shared" si="1"/>
        <v/>
      </c>
    </row>
    <row r="73" spans="1:20" ht="16.2" thickBot="1" x14ac:dyDescent="0.35">
      <c r="A73" s="36" t="s">
        <v>48</v>
      </c>
      <c r="B73" s="32">
        <v>690</v>
      </c>
      <c r="C73" s="32" t="s">
        <v>123</v>
      </c>
      <c r="D73" s="32">
        <v>16.96</v>
      </c>
      <c r="E73" s="32">
        <v>5</v>
      </c>
      <c r="F73" s="32">
        <v>5</v>
      </c>
      <c r="G73" s="32">
        <v>5</v>
      </c>
      <c r="H73" s="32">
        <v>5</v>
      </c>
      <c r="I73" s="32"/>
      <c r="J73" s="32"/>
      <c r="K73" s="32"/>
      <c r="L73" s="32"/>
      <c r="M73" s="32"/>
      <c r="N73" s="32">
        <v>8.8699999999999992</v>
      </c>
      <c r="O73" s="32">
        <v>36.96</v>
      </c>
      <c r="P73" s="32">
        <v>1</v>
      </c>
      <c r="Q73" s="32">
        <v>36.67</v>
      </c>
      <c r="R73" s="32">
        <v>5</v>
      </c>
      <c r="S73" s="32">
        <v>63.33</v>
      </c>
      <c r="T73" s="50" t="str">
        <f t="shared" si="1"/>
        <v>Fair</v>
      </c>
    </row>
    <row r="74" spans="1:20" ht="16.8" thickTop="1" thickBot="1" x14ac:dyDescent="0.35">
      <c r="A74" s="37" t="s">
        <v>49</v>
      </c>
      <c r="B74" s="38">
        <v>627</v>
      </c>
      <c r="C74" s="38">
        <v>9.7199999999999989</v>
      </c>
      <c r="D74" s="38">
        <v>5.38</v>
      </c>
      <c r="E74" s="38">
        <v>4.34</v>
      </c>
      <c r="F74" s="38"/>
      <c r="G74" s="38"/>
      <c r="H74" s="38"/>
      <c r="I74" s="38"/>
      <c r="J74" s="38"/>
      <c r="K74" s="38"/>
      <c r="L74" s="38"/>
      <c r="M74" s="38"/>
      <c r="N74" s="38">
        <v>9.9600000000000009</v>
      </c>
      <c r="O74" s="38" t="s">
        <v>123</v>
      </c>
      <c r="P74" s="38" t="s">
        <v>123</v>
      </c>
      <c r="Q74" s="38" t="s">
        <v>123</v>
      </c>
      <c r="R74" s="38" t="s">
        <v>123</v>
      </c>
      <c r="S74" s="38">
        <v>90.28</v>
      </c>
      <c r="T74" s="52" t="str">
        <f t="shared" si="1"/>
        <v>Good</v>
      </c>
    </row>
    <row r="75" spans="1:20" ht="16.2" thickTop="1" x14ac:dyDescent="0.3">
      <c r="A75" s="35" t="s">
        <v>50</v>
      </c>
      <c r="B75" s="34">
        <v>621</v>
      </c>
      <c r="C75" s="34" t="s">
        <v>123</v>
      </c>
      <c r="D75" s="34">
        <v>6.77</v>
      </c>
      <c r="E75" s="34">
        <v>5.01</v>
      </c>
      <c r="F75" s="34">
        <v>1.75</v>
      </c>
      <c r="G75" s="34"/>
      <c r="H75" s="34"/>
      <c r="I75" s="34"/>
      <c r="J75" s="34"/>
      <c r="K75" s="34"/>
      <c r="L75" s="34"/>
      <c r="M75" s="34"/>
      <c r="N75" s="34">
        <v>9.83</v>
      </c>
      <c r="O75" s="34">
        <v>13.53</v>
      </c>
      <c r="P75" s="34">
        <v>2</v>
      </c>
      <c r="Q75" s="34">
        <v>4.5</v>
      </c>
      <c r="R75" s="34">
        <v>1</v>
      </c>
      <c r="S75" s="34"/>
      <c r="T75" s="49" t="str">
        <f t="shared" si="1"/>
        <v/>
      </c>
    </row>
    <row r="76" spans="1:20" ht="16.2" thickBot="1" x14ac:dyDescent="0.35">
      <c r="A76" s="36" t="s">
        <v>50</v>
      </c>
      <c r="B76" s="32">
        <v>621</v>
      </c>
      <c r="C76" s="32" t="s">
        <v>123</v>
      </c>
      <c r="D76" s="32">
        <v>6.77</v>
      </c>
      <c r="E76" s="32">
        <v>5</v>
      </c>
      <c r="F76" s="32">
        <v>1.75</v>
      </c>
      <c r="G76" s="32"/>
      <c r="H76" s="32"/>
      <c r="I76" s="32"/>
      <c r="J76" s="32"/>
      <c r="K76" s="32"/>
      <c r="L76" s="32"/>
      <c r="M76" s="32"/>
      <c r="N76" s="32">
        <v>9.83</v>
      </c>
      <c r="O76" s="32">
        <v>13.52</v>
      </c>
      <c r="P76" s="32">
        <v>1</v>
      </c>
      <c r="Q76" s="32">
        <v>13.28</v>
      </c>
      <c r="R76" s="32">
        <v>2</v>
      </c>
      <c r="S76" s="32">
        <v>86.72</v>
      </c>
      <c r="T76" s="50" t="str">
        <f t="shared" si="1"/>
        <v>Good</v>
      </c>
    </row>
    <row r="77" spans="1:20" ht="16.2" thickTop="1" x14ac:dyDescent="0.3">
      <c r="A77" s="35" t="s">
        <v>51</v>
      </c>
      <c r="B77" s="34">
        <v>690</v>
      </c>
      <c r="C77" s="34" t="s">
        <v>123</v>
      </c>
      <c r="D77" s="34">
        <v>12.65</v>
      </c>
      <c r="E77" s="34">
        <v>11.76</v>
      </c>
      <c r="F77" s="34">
        <v>9.9600000000000009</v>
      </c>
      <c r="G77" s="34">
        <v>6.15</v>
      </c>
      <c r="H77" s="34">
        <v>1.72</v>
      </c>
      <c r="I77" s="34"/>
      <c r="J77" s="34"/>
      <c r="K77" s="34"/>
      <c r="L77" s="34"/>
      <c r="M77" s="34"/>
      <c r="N77" s="34">
        <v>9.2799999999999994</v>
      </c>
      <c r="O77" s="34">
        <v>42.24</v>
      </c>
      <c r="P77" s="34">
        <v>4</v>
      </c>
      <c r="Q77" s="34">
        <v>17.09</v>
      </c>
      <c r="R77" s="34">
        <v>1</v>
      </c>
      <c r="S77" s="34"/>
      <c r="T77" s="49" t="str">
        <f t="shared" si="1"/>
        <v/>
      </c>
    </row>
    <row r="78" spans="1:20" x14ac:dyDescent="0.3">
      <c r="A78" s="33" t="s">
        <v>51</v>
      </c>
      <c r="B78" s="31">
        <v>690</v>
      </c>
      <c r="C78" s="31" t="s">
        <v>123</v>
      </c>
      <c r="D78" s="31">
        <v>12.65</v>
      </c>
      <c r="E78" s="31">
        <v>11.76</v>
      </c>
      <c r="F78" s="31">
        <v>9.9600000000000009</v>
      </c>
      <c r="G78" s="31">
        <v>5</v>
      </c>
      <c r="H78" s="31">
        <v>1.72</v>
      </c>
      <c r="I78" s="31"/>
      <c r="J78" s="31"/>
      <c r="K78" s="31"/>
      <c r="L78" s="31"/>
      <c r="M78" s="31"/>
      <c r="N78" s="31">
        <v>9.2799999999999994</v>
      </c>
      <c r="O78" s="31">
        <v>41.09</v>
      </c>
      <c r="P78" s="31">
        <v>3</v>
      </c>
      <c r="Q78" s="31">
        <v>22.46</v>
      </c>
      <c r="R78" s="31">
        <v>2</v>
      </c>
      <c r="S78" s="31"/>
      <c r="T78" s="51" t="str">
        <f t="shared" si="1"/>
        <v/>
      </c>
    </row>
    <row r="79" spans="1:20" x14ac:dyDescent="0.3">
      <c r="A79" s="33" t="s">
        <v>51</v>
      </c>
      <c r="B79" s="31">
        <v>690</v>
      </c>
      <c r="C79" s="31" t="s">
        <v>123</v>
      </c>
      <c r="D79" s="31">
        <v>12.65</v>
      </c>
      <c r="E79" s="31">
        <v>11.76</v>
      </c>
      <c r="F79" s="31">
        <v>5</v>
      </c>
      <c r="G79" s="31">
        <v>5</v>
      </c>
      <c r="H79" s="31">
        <v>1.72</v>
      </c>
      <c r="I79" s="31"/>
      <c r="J79" s="31"/>
      <c r="K79" s="31"/>
      <c r="L79" s="31"/>
      <c r="M79" s="31"/>
      <c r="N79" s="31">
        <v>9.2799999999999994</v>
      </c>
      <c r="O79" s="31">
        <v>36.130000000000003</v>
      </c>
      <c r="P79" s="31">
        <v>2</v>
      </c>
      <c r="Q79" s="31">
        <v>22.6</v>
      </c>
      <c r="R79" s="31">
        <v>3</v>
      </c>
      <c r="S79" s="31"/>
      <c r="T79" s="51" t="str">
        <f t="shared" si="1"/>
        <v/>
      </c>
    </row>
    <row r="80" spans="1:20" ht="16.2" thickBot="1" x14ac:dyDescent="0.35">
      <c r="A80" s="36" t="s">
        <v>51</v>
      </c>
      <c r="B80" s="32">
        <v>690</v>
      </c>
      <c r="C80" s="32" t="s">
        <v>123</v>
      </c>
      <c r="D80" s="32">
        <v>12.65</v>
      </c>
      <c r="E80" s="32">
        <v>5</v>
      </c>
      <c r="F80" s="32">
        <v>5</v>
      </c>
      <c r="G80" s="32">
        <v>5</v>
      </c>
      <c r="H80" s="32">
        <v>1.72</v>
      </c>
      <c r="I80" s="32"/>
      <c r="J80" s="32"/>
      <c r="K80" s="32"/>
      <c r="L80" s="32"/>
      <c r="M80" s="32"/>
      <c r="N80" s="32">
        <v>9.2799999999999994</v>
      </c>
      <c r="O80" s="32">
        <v>29.37</v>
      </c>
      <c r="P80" s="32">
        <v>1</v>
      </c>
      <c r="Q80" s="32">
        <v>29.08</v>
      </c>
      <c r="R80" s="32">
        <v>4</v>
      </c>
      <c r="S80" s="32">
        <v>70.92</v>
      </c>
      <c r="T80" s="50" t="str">
        <f t="shared" si="1"/>
        <v>Satisfactory</v>
      </c>
    </row>
    <row r="81" spans="1:20" ht="16.2" thickTop="1" x14ac:dyDescent="0.3">
      <c r="A81" s="35" t="s">
        <v>52</v>
      </c>
      <c r="B81" s="34">
        <v>627</v>
      </c>
      <c r="C81" s="34" t="s">
        <v>123</v>
      </c>
      <c r="D81" s="34">
        <v>9.27</v>
      </c>
      <c r="E81" s="34">
        <v>6.06</v>
      </c>
      <c r="F81" s="34">
        <v>5.52</v>
      </c>
      <c r="G81" s="34">
        <v>4.0599999999999996</v>
      </c>
      <c r="H81" s="34"/>
      <c r="I81" s="34"/>
      <c r="J81" s="34"/>
      <c r="K81" s="34"/>
      <c r="L81" s="34"/>
      <c r="M81" s="34"/>
      <c r="N81" s="34">
        <v>9.6</v>
      </c>
      <c r="O81" s="34">
        <v>24.91</v>
      </c>
      <c r="P81" s="34">
        <v>3</v>
      </c>
      <c r="Q81" s="34">
        <v>9.85</v>
      </c>
      <c r="R81" s="34">
        <v>1</v>
      </c>
      <c r="S81" s="34"/>
      <c r="T81" s="49" t="str">
        <f t="shared" si="1"/>
        <v/>
      </c>
    </row>
    <row r="82" spans="1:20" x14ac:dyDescent="0.3">
      <c r="A82" s="33" t="s">
        <v>52</v>
      </c>
      <c r="B82" s="31">
        <v>627</v>
      </c>
      <c r="C82" s="31" t="s">
        <v>123</v>
      </c>
      <c r="D82" s="31">
        <v>9.27</v>
      </c>
      <c r="E82" s="31">
        <v>6.06</v>
      </c>
      <c r="F82" s="31">
        <v>5</v>
      </c>
      <c r="G82" s="31">
        <v>4.0599999999999996</v>
      </c>
      <c r="H82" s="31"/>
      <c r="I82" s="31"/>
      <c r="J82" s="31"/>
      <c r="K82" s="31"/>
      <c r="L82" s="31"/>
      <c r="M82" s="31"/>
      <c r="N82" s="31">
        <v>9.6</v>
      </c>
      <c r="O82" s="31">
        <v>24.39</v>
      </c>
      <c r="P82" s="31">
        <v>2</v>
      </c>
      <c r="Q82" s="31">
        <v>13.34</v>
      </c>
      <c r="R82" s="31">
        <v>2</v>
      </c>
      <c r="S82" s="31"/>
      <c r="T82" s="51" t="str">
        <f t="shared" si="1"/>
        <v/>
      </c>
    </row>
    <row r="83" spans="1:20" ht="16.2" thickBot="1" x14ac:dyDescent="0.35">
      <c r="A83" s="36" t="s">
        <v>52</v>
      </c>
      <c r="B83" s="32">
        <v>627</v>
      </c>
      <c r="C83" s="32" t="s">
        <v>123</v>
      </c>
      <c r="D83" s="32">
        <v>9.27</v>
      </c>
      <c r="E83" s="32">
        <v>5</v>
      </c>
      <c r="F83" s="32">
        <v>5</v>
      </c>
      <c r="G83" s="32">
        <v>4.0599999999999996</v>
      </c>
      <c r="H83" s="32"/>
      <c r="I83" s="32"/>
      <c r="J83" s="32"/>
      <c r="K83" s="32"/>
      <c r="L83" s="32"/>
      <c r="M83" s="32"/>
      <c r="N83" s="32">
        <v>9.6</v>
      </c>
      <c r="O83" s="32">
        <v>23.33</v>
      </c>
      <c r="P83" s="32">
        <v>1</v>
      </c>
      <c r="Q83" s="32">
        <v>23.06</v>
      </c>
      <c r="R83" s="32">
        <v>3</v>
      </c>
      <c r="S83" s="32">
        <v>76.94</v>
      </c>
      <c r="T83" s="50" t="str">
        <f t="shared" si="1"/>
        <v>Satisfactory</v>
      </c>
    </row>
    <row r="84" spans="1:20" ht="16.2" thickTop="1" x14ac:dyDescent="0.3">
      <c r="A84" s="35" t="s">
        <v>53</v>
      </c>
      <c r="B84" s="34">
        <v>621</v>
      </c>
      <c r="C84" s="34" t="s">
        <v>123</v>
      </c>
      <c r="D84" s="34">
        <v>9.2100000000000009</v>
      </c>
      <c r="E84" s="34">
        <v>6.13</v>
      </c>
      <c r="F84" s="34">
        <v>5.36</v>
      </c>
      <c r="G84" s="34">
        <v>5.22</v>
      </c>
      <c r="H84" s="34"/>
      <c r="I84" s="34"/>
      <c r="J84" s="34"/>
      <c r="K84" s="34"/>
      <c r="L84" s="34"/>
      <c r="M84" s="34"/>
      <c r="N84" s="34">
        <v>9.6</v>
      </c>
      <c r="O84" s="34">
        <v>25.92</v>
      </c>
      <c r="P84" s="34">
        <v>4</v>
      </c>
      <c r="Q84" s="34">
        <v>5.44</v>
      </c>
      <c r="R84" s="34">
        <v>1</v>
      </c>
      <c r="S84" s="34"/>
      <c r="T84" s="49" t="str">
        <f t="shared" si="1"/>
        <v/>
      </c>
    </row>
    <row r="85" spans="1:20" x14ac:dyDescent="0.3">
      <c r="A85" s="33" t="s">
        <v>53</v>
      </c>
      <c r="B85" s="31">
        <v>621</v>
      </c>
      <c r="C85" s="31" t="s">
        <v>123</v>
      </c>
      <c r="D85" s="31">
        <v>9.2100000000000009</v>
      </c>
      <c r="E85" s="31">
        <v>6.13</v>
      </c>
      <c r="F85" s="31">
        <v>5.36</v>
      </c>
      <c r="G85" s="31">
        <v>5</v>
      </c>
      <c r="H85" s="31"/>
      <c r="I85" s="31"/>
      <c r="J85" s="31"/>
      <c r="K85" s="31"/>
      <c r="L85" s="31"/>
      <c r="M85" s="31"/>
      <c r="N85" s="31">
        <v>9.6</v>
      </c>
      <c r="O85" s="31">
        <v>25.7</v>
      </c>
      <c r="P85" s="31">
        <v>3</v>
      </c>
      <c r="Q85" s="31">
        <v>10.49</v>
      </c>
      <c r="R85" s="31">
        <v>2</v>
      </c>
      <c r="S85" s="31"/>
      <c r="T85" s="51" t="str">
        <f t="shared" si="1"/>
        <v/>
      </c>
    </row>
    <row r="86" spans="1:20" x14ac:dyDescent="0.3">
      <c r="A86" s="33" t="s">
        <v>53</v>
      </c>
      <c r="B86" s="31">
        <v>621</v>
      </c>
      <c r="C86" s="31" t="s">
        <v>123</v>
      </c>
      <c r="D86" s="31">
        <v>9.2100000000000009</v>
      </c>
      <c r="E86" s="31">
        <v>6.13</v>
      </c>
      <c r="F86" s="31">
        <v>5</v>
      </c>
      <c r="G86" s="31">
        <v>5</v>
      </c>
      <c r="H86" s="31"/>
      <c r="I86" s="31"/>
      <c r="J86" s="31"/>
      <c r="K86" s="31"/>
      <c r="L86" s="31"/>
      <c r="M86" s="31"/>
      <c r="N86" s="31">
        <v>9.6</v>
      </c>
      <c r="O86" s="31">
        <v>25.34</v>
      </c>
      <c r="P86" s="31">
        <v>2</v>
      </c>
      <c r="Q86" s="31">
        <v>14.1</v>
      </c>
      <c r="R86" s="31">
        <v>3</v>
      </c>
      <c r="S86" s="31"/>
      <c r="T86" s="51" t="str">
        <f t="shared" si="1"/>
        <v/>
      </c>
    </row>
    <row r="87" spans="1:20" ht="16.2" thickBot="1" x14ac:dyDescent="0.35">
      <c r="A87" s="36" t="s">
        <v>53</v>
      </c>
      <c r="B87" s="32">
        <v>621</v>
      </c>
      <c r="C87" s="32" t="s">
        <v>123</v>
      </c>
      <c r="D87" s="32">
        <v>9.2100000000000009</v>
      </c>
      <c r="E87" s="32">
        <v>5</v>
      </c>
      <c r="F87" s="32">
        <v>5</v>
      </c>
      <c r="G87" s="32">
        <v>5</v>
      </c>
      <c r="H87" s="32"/>
      <c r="I87" s="32"/>
      <c r="J87" s="32"/>
      <c r="K87" s="32"/>
      <c r="L87" s="32"/>
      <c r="M87" s="32"/>
      <c r="N87" s="32">
        <v>9.6</v>
      </c>
      <c r="O87" s="32">
        <v>24.21</v>
      </c>
      <c r="P87" s="32">
        <v>1</v>
      </c>
      <c r="Q87" s="32">
        <v>23.93</v>
      </c>
      <c r="R87" s="32">
        <v>4</v>
      </c>
      <c r="S87" s="32">
        <v>76.069999999999993</v>
      </c>
      <c r="T87" s="50" t="str">
        <f t="shared" si="1"/>
        <v>Satisfactory</v>
      </c>
    </row>
    <row r="88" spans="1:20" ht="16.2" thickTop="1" x14ac:dyDescent="0.3">
      <c r="A88" s="35" t="s">
        <v>54</v>
      </c>
      <c r="B88" s="34">
        <v>690</v>
      </c>
      <c r="C88" s="34" t="s">
        <v>123</v>
      </c>
      <c r="D88" s="34">
        <v>10.45</v>
      </c>
      <c r="E88" s="34">
        <v>10.27</v>
      </c>
      <c r="F88" s="34">
        <v>8.86</v>
      </c>
      <c r="G88" s="34">
        <v>7.49</v>
      </c>
      <c r="H88" s="34">
        <v>5.16</v>
      </c>
      <c r="I88" s="34"/>
      <c r="J88" s="34"/>
      <c r="K88" s="34"/>
      <c r="L88" s="34"/>
      <c r="M88" s="34"/>
      <c r="N88" s="34">
        <v>9.48</v>
      </c>
      <c r="O88" s="34">
        <v>42.23</v>
      </c>
      <c r="P88" s="34">
        <v>5</v>
      </c>
      <c r="Q88" s="34">
        <v>17.13</v>
      </c>
      <c r="R88" s="34">
        <v>1</v>
      </c>
      <c r="S88" s="34"/>
      <c r="T88" s="49" t="str">
        <f t="shared" si="1"/>
        <v/>
      </c>
    </row>
    <row r="89" spans="1:20" x14ac:dyDescent="0.3">
      <c r="A89" s="33" t="s">
        <v>54</v>
      </c>
      <c r="B89" s="31">
        <v>690</v>
      </c>
      <c r="C89" s="31" t="s">
        <v>123</v>
      </c>
      <c r="D89" s="31">
        <v>10.45</v>
      </c>
      <c r="E89" s="31">
        <v>10.27</v>
      </c>
      <c r="F89" s="31">
        <v>8.86</v>
      </c>
      <c r="G89" s="31">
        <v>7.49</v>
      </c>
      <c r="H89" s="31">
        <v>5</v>
      </c>
      <c r="I89" s="31"/>
      <c r="J89" s="31"/>
      <c r="K89" s="31"/>
      <c r="L89" s="31"/>
      <c r="M89" s="31"/>
      <c r="N89" s="31">
        <v>9.48</v>
      </c>
      <c r="O89" s="31">
        <v>42.07</v>
      </c>
      <c r="P89" s="31">
        <v>4</v>
      </c>
      <c r="Q89" s="31">
        <v>16.97</v>
      </c>
      <c r="R89" s="31">
        <v>2</v>
      </c>
      <c r="S89" s="31"/>
      <c r="T89" s="51" t="str">
        <f t="shared" si="1"/>
        <v/>
      </c>
    </row>
    <row r="90" spans="1:20" x14ac:dyDescent="0.3">
      <c r="A90" s="33" t="s">
        <v>54</v>
      </c>
      <c r="B90" s="31">
        <v>690</v>
      </c>
      <c r="C90" s="31" t="s">
        <v>123</v>
      </c>
      <c r="D90" s="31">
        <v>10.45</v>
      </c>
      <c r="E90" s="31">
        <v>10.27</v>
      </c>
      <c r="F90" s="31">
        <v>8.86</v>
      </c>
      <c r="G90" s="31">
        <v>5</v>
      </c>
      <c r="H90" s="31">
        <v>5</v>
      </c>
      <c r="I90" s="31"/>
      <c r="J90" s="31"/>
      <c r="K90" s="31"/>
      <c r="L90" s="31"/>
      <c r="M90" s="31"/>
      <c r="N90" s="31">
        <v>9.48</v>
      </c>
      <c r="O90" s="31">
        <v>39.58</v>
      </c>
      <c r="P90" s="31">
        <v>3</v>
      </c>
      <c r="Q90" s="31">
        <v>21.32</v>
      </c>
      <c r="R90" s="31">
        <v>3</v>
      </c>
      <c r="S90" s="31"/>
      <c r="T90" s="51" t="str">
        <f t="shared" si="1"/>
        <v/>
      </c>
    </row>
    <row r="91" spans="1:20" x14ac:dyDescent="0.3">
      <c r="A91" s="33" t="s">
        <v>54</v>
      </c>
      <c r="B91" s="31">
        <v>690</v>
      </c>
      <c r="C91" s="31" t="s">
        <v>123</v>
      </c>
      <c r="D91" s="31">
        <v>10.45</v>
      </c>
      <c r="E91" s="31">
        <v>10.27</v>
      </c>
      <c r="F91" s="31">
        <v>5</v>
      </c>
      <c r="G91" s="31">
        <v>5</v>
      </c>
      <c r="H91" s="31">
        <v>5</v>
      </c>
      <c r="I91" s="31"/>
      <c r="J91" s="31"/>
      <c r="K91" s="31"/>
      <c r="L91" s="31"/>
      <c r="M91" s="31"/>
      <c r="N91" s="31">
        <v>9.48</v>
      </c>
      <c r="O91" s="31">
        <v>35.72</v>
      </c>
      <c r="P91" s="31">
        <v>2</v>
      </c>
      <c r="Q91" s="31">
        <v>22.28</v>
      </c>
      <c r="R91" s="31">
        <v>4</v>
      </c>
      <c r="S91" s="31"/>
      <c r="T91" s="51" t="str">
        <f t="shared" si="1"/>
        <v/>
      </c>
    </row>
    <row r="92" spans="1:20" ht="16.2" thickBot="1" x14ac:dyDescent="0.35">
      <c r="A92" s="36" t="s">
        <v>54</v>
      </c>
      <c r="B92" s="32">
        <v>690</v>
      </c>
      <c r="C92" s="32" t="s">
        <v>123</v>
      </c>
      <c r="D92" s="32">
        <v>10.45</v>
      </c>
      <c r="E92" s="32">
        <v>5</v>
      </c>
      <c r="F92" s="32">
        <v>5</v>
      </c>
      <c r="G92" s="32">
        <v>5</v>
      </c>
      <c r="H92" s="32">
        <v>5</v>
      </c>
      <c r="I92" s="32"/>
      <c r="J92" s="32"/>
      <c r="K92" s="32"/>
      <c r="L92" s="32"/>
      <c r="M92" s="32"/>
      <c r="N92" s="32">
        <v>9.48</v>
      </c>
      <c r="O92" s="32">
        <v>30.45</v>
      </c>
      <c r="P92" s="32">
        <v>1</v>
      </c>
      <c r="Q92" s="32">
        <v>30.16</v>
      </c>
      <c r="R92" s="32">
        <v>5</v>
      </c>
      <c r="S92" s="32">
        <v>69.84</v>
      </c>
      <c r="T92" s="50" t="str">
        <f t="shared" si="1"/>
        <v>Fair</v>
      </c>
    </row>
    <row r="93" spans="1:20" ht="16.2" thickTop="1" x14ac:dyDescent="0.3">
      <c r="A93" s="35" t="s">
        <v>55</v>
      </c>
      <c r="B93" s="34">
        <v>627</v>
      </c>
      <c r="C93" s="34" t="s">
        <v>123</v>
      </c>
      <c r="D93" s="34">
        <v>8.07</v>
      </c>
      <c r="E93" s="34">
        <v>6.49</v>
      </c>
      <c r="F93" s="34">
        <v>5.01</v>
      </c>
      <c r="G93" s="34"/>
      <c r="H93" s="34"/>
      <c r="I93" s="34"/>
      <c r="J93" s="34"/>
      <c r="K93" s="34"/>
      <c r="L93" s="34"/>
      <c r="M93" s="34"/>
      <c r="N93" s="34">
        <v>9.7100000000000009</v>
      </c>
      <c r="O93" s="34">
        <v>19.57</v>
      </c>
      <c r="P93" s="34">
        <v>3</v>
      </c>
      <c r="Q93" s="34">
        <v>5.52</v>
      </c>
      <c r="R93" s="34">
        <v>1</v>
      </c>
      <c r="S93" s="34"/>
      <c r="T93" s="49" t="str">
        <f t="shared" si="1"/>
        <v/>
      </c>
    </row>
    <row r="94" spans="1:20" x14ac:dyDescent="0.3">
      <c r="A94" s="33" t="s">
        <v>55</v>
      </c>
      <c r="B94" s="31">
        <v>627</v>
      </c>
      <c r="C94" s="31" t="s">
        <v>123</v>
      </c>
      <c r="D94" s="31">
        <v>8.07</v>
      </c>
      <c r="E94" s="31">
        <v>6.49</v>
      </c>
      <c r="F94" s="31">
        <v>5</v>
      </c>
      <c r="G94" s="31"/>
      <c r="H94" s="31"/>
      <c r="I94" s="31"/>
      <c r="J94" s="31"/>
      <c r="K94" s="31"/>
      <c r="L94" s="31"/>
      <c r="M94" s="31"/>
      <c r="N94" s="31">
        <v>9.7100000000000009</v>
      </c>
      <c r="O94" s="31">
        <v>19.559999999999999</v>
      </c>
      <c r="P94" s="31">
        <v>2</v>
      </c>
      <c r="Q94" s="31">
        <v>9.44</v>
      </c>
      <c r="R94" s="31">
        <v>2</v>
      </c>
      <c r="S94" s="31"/>
      <c r="T94" s="51" t="str">
        <f t="shared" si="1"/>
        <v/>
      </c>
    </row>
    <row r="95" spans="1:20" ht="16.2" thickBot="1" x14ac:dyDescent="0.35">
      <c r="A95" s="36" t="s">
        <v>55</v>
      </c>
      <c r="B95" s="32">
        <v>627</v>
      </c>
      <c r="C95" s="32" t="s">
        <v>123</v>
      </c>
      <c r="D95" s="32">
        <v>8.07</v>
      </c>
      <c r="E95" s="32">
        <v>5</v>
      </c>
      <c r="F95" s="32">
        <v>5</v>
      </c>
      <c r="G95" s="32"/>
      <c r="H95" s="32"/>
      <c r="I95" s="32"/>
      <c r="J95" s="32"/>
      <c r="K95" s="32"/>
      <c r="L95" s="32"/>
      <c r="M95" s="32"/>
      <c r="N95" s="32">
        <v>9.7100000000000009</v>
      </c>
      <c r="O95" s="32">
        <v>18.07</v>
      </c>
      <c r="P95" s="32">
        <v>1</v>
      </c>
      <c r="Q95" s="32">
        <v>17.809999999999999</v>
      </c>
      <c r="R95" s="32">
        <v>3</v>
      </c>
      <c r="S95" s="32">
        <v>82.19</v>
      </c>
      <c r="T95" s="50" t="str">
        <f t="shared" si="1"/>
        <v>Satisfactory</v>
      </c>
    </row>
    <row r="96" spans="1:20" ht="16.2" thickTop="1" x14ac:dyDescent="0.3">
      <c r="A96" s="35" t="s">
        <v>56</v>
      </c>
      <c r="B96" s="34">
        <v>621</v>
      </c>
      <c r="C96" s="34" t="s">
        <v>123</v>
      </c>
      <c r="D96" s="34">
        <v>14.46</v>
      </c>
      <c r="E96" s="34">
        <v>13.63</v>
      </c>
      <c r="F96" s="34">
        <v>6.65</v>
      </c>
      <c r="G96" s="34"/>
      <c r="H96" s="34"/>
      <c r="I96" s="34"/>
      <c r="J96" s="34"/>
      <c r="K96" s="34"/>
      <c r="L96" s="34"/>
      <c r="M96" s="34"/>
      <c r="N96" s="34">
        <v>9.1</v>
      </c>
      <c r="O96" s="34">
        <v>34.74</v>
      </c>
      <c r="P96" s="34">
        <v>3</v>
      </c>
      <c r="Q96" s="34">
        <v>17.61</v>
      </c>
      <c r="R96" s="34">
        <v>1</v>
      </c>
      <c r="S96" s="34"/>
      <c r="T96" s="49" t="str">
        <f t="shared" si="1"/>
        <v/>
      </c>
    </row>
    <row r="97" spans="1:20" x14ac:dyDescent="0.3">
      <c r="A97" s="33" t="s">
        <v>56</v>
      </c>
      <c r="B97" s="31">
        <v>621</v>
      </c>
      <c r="C97" s="31" t="s">
        <v>123</v>
      </c>
      <c r="D97" s="31">
        <v>14.46</v>
      </c>
      <c r="E97" s="31">
        <v>13.63</v>
      </c>
      <c r="F97" s="31">
        <v>5</v>
      </c>
      <c r="G97" s="31"/>
      <c r="H97" s="31"/>
      <c r="I97" s="31"/>
      <c r="J97" s="31"/>
      <c r="K97" s="31"/>
      <c r="L97" s="31"/>
      <c r="M97" s="31"/>
      <c r="N97" s="31">
        <v>9.1</v>
      </c>
      <c r="O97" s="31">
        <v>33.090000000000003</v>
      </c>
      <c r="P97" s="31">
        <v>2</v>
      </c>
      <c r="Q97" s="31">
        <v>20.23</v>
      </c>
      <c r="R97" s="31">
        <v>2</v>
      </c>
      <c r="S97" s="31"/>
      <c r="T97" s="51" t="str">
        <f t="shared" si="1"/>
        <v/>
      </c>
    </row>
    <row r="98" spans="1:20" ht="16.2" thickBot="1" x14ac:dyDescent="0.35">
      <c r="A98" s="36" t="s">
        <v>56</v>
      </c>
      <c r="B98" s="32">
        <v>621</v>
      </c>
      <c r="C98" s="32" t="s">
        <v>123</v>
      </c>
      <c r="D98" s="32">
        <v>14.46</v>
      </c>
      <c r="E98" s="32">
        <v>5</v>
      </c>
      <c r="F98" s="32">
        <v>5</v>
      </c>
      <c r="G98" s="32"/>
      <c r="H98" s="32"/>
      <c r="I98" s="32"/>
      <c r="J98" s="32"/>
      <c r="K98" s="32"/>
      <c r="L98" s="32"/>
      <c r="M98" s="32"/>
      <c r="N98" s="32">
        <v>9.1</v>
      </c>
      <c r="O98" s="32">
        <v>24.46</v>
      </c>
      <c r="P98" s="32">
        <v>1</v>
      </c>
      <c r="Q98" s="32">
        <v>24.18</v>
      </c>
      <c r="R98" s="32">
        <v>3</v>
      </c>
      <c r="S98" s="32">
        <v>75.819999999999993</v>
      </c>
      <c r="T98" s="50" t="str">
        <f t="shared" si="1"/>
        <v>Satisfactory</v>
      </c>
    </row>
    <row r="99" spans="1:20" ht="16.8" thickTop="1" thickBot="1" x14ac:dyDescent="0.35">
      <c r="A99" s="37" t="s">
        <v>57</v>
      </c>
      <c r="B99" s="38">
        <v>690</v>
      </c>
      <c r="C99" s="38">
        <v>9.56</v>
      </c>
      <c r="D99" s="38">
        <v>4.95</v>
      </c>
      <c r="E99" s="38">
        <v>4.6100000000000003</v>
      </c>
      <c r="F99" s="38"/>
      <c r="G99" s="38"/>
      <c r="H99" s="38"/>
      <c r="I99" s="38"/>
      <c r="J99" s="38"/>
      <c r="K99" s="38"/>
      <c r="L99" s="38"/>
      <c r="M99" s="38"/>
      <c r="N99" s="38">
        <v>10</v>
      </c>
      <c r="O99" s="38"/>
      <c r="P99" s="38"/>
      <c r="Q99" s="38"/>
      <c r="R99" s="38"/>
      <c r="S99" s="38">
        <v>90.44</v>
      </c>
      <c r="T99" s="52" t="str">
        <f t="shared" si="1"/>
        <v>Good</v>
      </c>
    </row>
    <row r="100" spans="1:20" ht="16.2" thickTop="1" x14ac:dyDescent="0.3">
      <c r="A100" s="35" t="s">
        <v>58</v>
      </c>
      <c r="B100" s="34">
        <v>627</v>
      </c>
      <c r="C100" s="34" t="s">
        <v>123</v>
      </c>
      <c r="D100" s="34">
        <v>16.2</v>
      </c>
      <c r="E100" s="34">
        <v>8.07</v>
      </c>
      <c r="F100" s="34">
        <v>7.64</v>
      </c>
      <c r="G100" s="34"/>
      <c r="H100" s="34"/>
      <c r="I100" s="34"/>
      <c r="J100" s="34"/>
      <c r="K100" s="34"/>
      <c r="L100" s="34"/>
      <c r="M100" s="34"/>
      <c r="N100" s="34">
        <v>8.94</v>
      </c>
      <c r="O100" s="34">
        <v>31.91</v>
      </c>
      <c r="P100" s="34">
        <v>3</v>
      </c>
      <c r="Q100" s="34">
        <v>15.4</v>
      </c>
      <c r="R100" s="34">
        <v>1</v>
      </c>
      <c r="S100" s="34"/>
      <c r="T100" s="49" t="str">
        <f t="shared" si="1"/>
        <v/>
      </c>
    </row>
    <row r="101" spans="1:20" x14ac:dyDescent="0.3">
      <c r="A101" s="33" t="s">
        <v>58</v>
      </c>
      <c r="B101" s="31">
        <v>627</v>
      </c>
      <c r="C101" s="31" t="s">
        <v>123</v>
      </c>
      <c r="D101" s="31">
        <v>16.2</v>
      </c>
      <c r="E101" s="31">
        <v>8.07</v>
      </c>
      <c r="F101" s="31">
        <v>5</v>
      </c>
      <c r="G101" s="31"/>
      <c r="H101" s="31"/>
      <c r="I101" s="31"/>
      <c r="J101" s="31"/>
      <c r="K101" s="31"/>
      <c r="L101" s="31"/>
      <c r="M101" s="31"/>
      <c r="N101" s="31">
        <v>8.94</v>
      </c>
      <c r="O101" s="31">
        <v>29.27</v>
      </c>
      <c r="P101" s="31">
        <v>2</v>
      </c>
      <c r="Q101" s="31">
        <v>17.22</v>
      </c>
      <c r="R101" s="31">
        <v>2</v>
      </c>
      <c r="S101" s="31"/>
      <c r="T101" s="51" t="str">
        <f t="shared" si="1"/>
        <v/>
      </c>
    </row>
    <row r="102" spans="1:20" ht="16.2" thickBot="1" x14ac:dyDescent="0.35">
      <c r="A102" s="36" t="s">
        <v>58</v>
      </c>
      <c r="B102" s="32">
        <v>627</v>
      </c>
      <c r="C102" s="32" t="s">
        <v>123</v>
      </c>
      <c r="D102" s="32">
        <v>16.2</v>
      </c>
      <c r="E102" s="32">
        <v>5</v>
      </c>
      <c r="F102" s="32">
        <v>5</v>
      </c>
      <c r="G102" s="32"/>
      <c r="H102" s="32"/>
      <c r="I102" s="32"/>
      <c r="J102" s="32"/>
      <c r="K102" s="32"/>
      <c r="L102" s="32"/>
      <c r="M102" s="32"/>
      <c r="N102" s="32">
        <v>8.94</v>
      </c>
      <c r="O102" s="32">
        <v>26.2</v>
      </c>
      <c r="P102" s="32">
        <v>1</v>
      </c>
      <c r="Q102" s="32">
        <v>25.92</v>
      </c>
      <c r="R102" s="32">
        <v>3</v>
      </c>
      <c r="S102" s="32">
        <v>74.08</v>
      </c>
      <c r="T102" s="50" t="str">
        <f t="shared" si="1"/>
        <v>Satisfactory</v>
      </c>
    </row>
    <row r="103" spans="1:20" ht="16.2" thickTop="1" x14ac:dyDescent="0.3">
      <c r="A103" s="35" t="s">
        <v>59</v>
      </c>
      <c r="B103" s="34">
        <v>621</v>
      </c>
      <c r="C103" s="34" t="s">
        <v>123</v>
      </c>
      <c r="D103" s="34">
        <v>13.16</v>
      </c>
      <c r="E103" s="34">
        <v>12</v>
      </c>
      <c r="F103" s="34">
        <v>10.98</v>
      </c>
      <c r="G103" s="34">
        <v>7.51</v>
      </c>
      <c r="H103" s="34">
        <v>5.56</v>
      </c>
      <c r="I103" s="34"/>
      <c r="J103" s="34"/>
      <c r="K103" s="34"/>
      <c r="L103" s="34"/>
      <c r="M103" s="34"/>
      <c r="N103" s="34">
        <v>9.23</v>
      </c>
      <c r="O103" s="34">
        <v>49.21</v>
      </c>
      <c r="P103" s="34">
        <v>5</v>
      </c>
      <c r="Q103" s="34">
        <v>21.91</v>
      </c>
      <c r="R103" s="34">
        <v>1</v>
      </c>
      <c r="S103" s="34"/>
      <c r="T103" s="49" t="str">
        <f t="shared" si="1"/>
        <v/>
      </c>
    </row>
    <row r="104" spans="1:20" x14ac:dyDescent="0.3">
      <c r="A104" s="33" t="s">
        <v>59</v>
      </c>
      <c r="B104" s="31">
        <v>621</v>
      </c>
      <c r="C104" s="31" t="s">
        <v>123</v>
      </c>
      <c r="D104" s="31">
        <v>13.16</v>
      </c>
      <c r="E104" s="31">
        <v>12</v>
      </c>
      <c r="F104" s="31">
        <v>10.98</v>
      </c>
      <c r="G104" s="31">
        <v>7.51</v>
      </c>
      <c r="H104" s="31">
        <v>5</v>
      </c>
      <c r="I104" s="31"/>
      <c r="J104" s="31"/>
      <c r="K104" s="31"/>
      <c r="L104" s="31"/>
      <c r="M104" s="31"/>
      <c r="N104" s="31">
        <v>9.23</v>
      </c>
      <c r="O104" s="31">
        <v>48.65</v>
      </c>
      <c r="P104" s="31">
        <v>4</v>
      </c>
      <c r="Q104" s="31">
        <v>21.46</v>
      </c>
      <c r="R104" s="31">
        <v>2</v>
      </c>
      <c r="S104" s="31"/>
      <c r="T104" s="51" t="str">
        <f t="shared" si="1"/>
        <v/>
      </c>
    </row>
    <row r="105" spans="1:20" x14ac:dyDescent="0.3">
      <c r="A105" s="33" t="s">
        <v>59</v>
      </c>
      <c r="B105" s="31">
        <v>621</v>
      </c>
      <c r="C105" s="31" t="s">
        <v>123</v>
      </c>
      <c r="D105" s="31">
        <v>13.16</v>
      </c>
      <c r="E105" s="31">
        <v>12</v>
      </c>
      <c r="F105" s="31">
        <v>10.98</v>
      </c>
      <c r="G105" s="31">
        <v>5</v>
      </c>
      <c r="H105" s="31">
        <v>5</v>
      </c>
      <c r="I105" s="31"/>
      <c r="J105" s="31"/>
      <c r="K105" s="31"/>
      <c r="L105" s="31"/>
      <c r="M105" s="31"/>
      <c r="N105" s="31">
        <v>9.23</v>
      </c>
      <c r="O105" s="31">
        <v>46.14</v>
      </c>
      <c r="P105" s="31">
        <v>3</v>
      </c>
      <c r="Q105" s="31">
        <v>26.24</v>
      </c>
      <c r="R105" s="31">
        <v>3</v>
      </c>
      <c r="S105" s="31"/>
      <c r="T105" s="51" t="str">
        <f t="shared" si="1"/>
        <v/>
      </c>
    </row>
    <row r="106" spans="1:20" x14ac:dyDescent="0.3">
      <c r="A106" s="33" t="s">
        <v>59</v>
      </c>
      <c r="B106" s="31">
        <v>621</v>
      </c>
      <c r="C106" s="31" t="s">
        <v>123</v>
      </c>
      <c r="D106" s="31">
        <v>13.16</v>
      </c>
      <c r="E106" s="31">
        <v>12</v>
      </c>
      <c r="F106" s="31">
        <v>5</v>
      </c>
      <c r="G106" s="31">
        <v>5</v>
      </c>
      <c r="H106" s="31">
        <v>5</v>
      </c>
      <c r="I106" s="31"/>
      <c r="J106" s="31"/>
      <c r="K106" s="31"/>
      <c r="L106" s="31"/>
      <c r="M106" s="31"/>
      <c r="N106" s="31">
        <v>9.23</v>
      </c>
      <c r="O106" s="31">
        <v>40.159999999999997</v>
      </c>
      <c r="P106" s="31">
        <v>2</v>
      </c>
      <c r="Q106" s="31">
        <v>25.71</v>
      </c>
      <c r="R106" s="31">
        <v>4</v>
      </c>
      <c r="S106" s="31"/>
      <c r="T106" s="51" t="str">
        <f t="shared" si="1"/>
        <v/>
      </c>
    </row>
    <row r="107" spans="1:20" ht="16.2" thickBot="1" x14ac:dyDescent="0.35">
      <c r="A107" s="36" t="s">
        <v>59</v>
      </c>
      <c r="B107" s="32">
        <v>621</v>
      </c>
      <c r="C107" s="32" t="s">
        <v>123</v>
      </c>
      <c r="D107" s="32">
        <v>13.16</v>
      </c>
      <c r="E107" s="32">
        <v>5</v>
      </c>
      <c r="F107" s="32">
        <v>5</v>
      </c>
      <c r="G107" s="32">
        <v>5</v>
      </c>
      <c r="H107" s="32">
        <v>5</v>
      </c>
      <c r="I107" s="32"/>
      <c r="J107" s="32"/>
      <c r="K107" s="32"/>
      <c r="L107" s="32"/>
      <c r="M107" s="32"/>
      <c r="N107" s="32">
        <v>9.23</v>
      </c>
      <c r="O107" s="32">
        <v>33.159999999999997</v>
      </c>
      <c r="P107" s="32">
        <v>1</v>
      </c>
      <c r="Q107" s="32">
        <v>32.869999999999997</v>
      </c>
      <c r="R107" s="32">
        <v>5</v>
      </c>
      <c r="S107" s="32">
        <v>67.13</v>
      </c>
      <c r="T107" s="50" t="str">
        <f t="shared" si="1"/>
        <v>Fair</v>
      </c>
    </row>
    <row r="108" spans="1:20" ht="16.2" thickTop="1" x14ac:dyDescent="0.3">
      <c r="A108" s="35" t="s">
        <v>60</v>
      </c>
      <c r="B108" s="34">
        <v>690</v>
      </c>
      <c r="C108" s="34" t="s">
        <v>123</v>
      </c>
      <c r="D108" s="34">
        <v>10.07</v>
      </c>
      <c r="E108" s="34">
        <v>6.8</v>
      </c>
      <c r="F108" s="34">
        <v>5.01</v>
      </c>
      <c r="G108" s="34">
        <v>4.0199999999999996</v>
      </c>
      <c r="H108" s="34"/>
      <c r="I108" s="34"/>
      <c r="J108" s="34"/>
      <c r="K108" s="34"/>
      <c r="L108" s="34"/>
      <c r="M108" s="34"/>
      <c r="N108" s="34">
        <v>9.52</v>
      </c>
      <c r="O108" s="34">
        <v>25.9</v>
      </c>
      <c r="P108" s="34">
        <v>3</v>
      </c>
      <c r="Q108" s="34">
        <v>10.65</v>
      </c>
      <c r="R108" s="34">
        <v>1</v>
      </c>
      <c r="S108" s="34"/>
      <c r="T108" s="49" t="str">
        <f t="shared" si="1"/>
        <v/>
      </c>
    </row>
    <row r="109" spans="1:20" x14ac:dyDescent="0.3">
      <c r="A109" s="33" t="s">
        <v>60</v>
      </c>
      <c r="B109" s="31">
        <v>690</v>
      </c>
      <c r="C109" s="31" t="s">
        <v>123</v>
      </c>
      <c r="D109" s="31">
        <v>10.07</v>
      </c>
      <c r="E109" s="31">
        <v>6.8</v>
      </c>
      <c r="F109" s="31">
        <v>5</v>
      </c>
      <c r="G109" s="31">
        <v>4.0199999999999996</v>
      </c>
      <c r="H109" s="31"/>
      <c r="I109" s="31"/>
      <c r="J109" s="31"/>
      <c r="K109" s="31"/>
      <c r="L109" s="31"/>
      <c r="M109" s="31"/>
      <c r="N109" s="31">
        <v>9.52</v>
      </c>
      <c r="O109" s="31">
        <v>25.89</v>
      </c>
      <c r="P109" s="31">
        <v>2</v>
      </c>
      <c r="Q109" s="31">
        <v>14.54</v>
      </c>
      <c r="R109" s="31">
        <v>2</v>
      </c>
      <c r="S109" s="31"/>
      <c r="T109" s="51" t="str">
        <f t="shared" si="1"/>
        <v/>
      </c>
    </row>
    <row r="110" spans="1:20" ht="16.2" thickBot="1" x14ac:dyDescent="0.35">
      <c r="A110" s="36" t="s">
        <v>60</v>
      </c>
      <c r="B110" s="32">
        <v>690</v>
      </c>
      <c r="C110" s="32" t="s">
        <v>123</v>
      </c>
      <c r="D110" s="32">
        <v>10.07</v>
      </c>
      <c r="E110" s="32">
        <v>5</v>
      </c>
      <c r="F110" s="32">
        <v>5</v>
      </c>
      <c r="G110" s="32">
        <v>4.0199999999999996</v>
      </c>
      <c r="H110" s="32"/>
      <c r="I110" s="32"/>
      <c r="J110" s="32"/>
      <c r="K110" s="32"/>
      <c r="L110" s="32"/>
      <c r="M110" s="32"/>
      <c r="N110" s="32">
        <v>9.52</v>
      </c>
      <c r="O110" s="32">
        <v>24.09</v>
      </c>
      <c r="P110" s="32">
        <v>1</v>
      </c>
      <c r="Q110" s="32">
        <v>23.81</v>
      </c>
      <c r="R110" s="32">
        <v>3</v>
      </c>
      <c r="S110" s="32">
        <v>76.19</v>
      </c>
      <c r="T110" s="50" t="str">
        <f t="shared" si="1"/>
        <v>Satisfactory</v>
      </c>
    </row>
    <row r="111" spans="1:20" ht="16.2" thickTop="1" x14ac:dyDescent="0.3">
      <c r="A111" s="35" t="s">
        <v>61</v>
      </c>
      <c r="B111" s="34">
        <v>627</v>
      </c>
      <c r="C111" s="34" t="s">
        <v>123</v>
      </c>
      <c r="D111" s="34">
        <v>13.7</v>
      </c>
      <c r="E111" s="34">
        <v>9.32</v>
      </c>
      <c r="F111" s="34">
        <v>8.7899999999999991</v>
      </c>
      <c r="G111" s="34"/>
      <c r="H111" s="34"/>
      <c r="I111" s="34"/>
      <c r="J111" s="34"/>
      <c r="K111" s="34"/>
      <c r="L111" s="34"/>
      <c r="M111" s="34"/>
      <c r="N111" s="34">
        <v>9.18</v>
      </c>
      <c r="O111" s="34">
        <v>31.81</v>
      </c>
      <c r="P111" s="34">
        <v>3</v>
      </c>
      <c r="Q111" s="34">
        <v>15.32</v>
      </c>
      <c r="R111" s="34">
        <v>1</v>
      </c>
      <c r="S111" s="34"/>
      <c r="T111" s="49" t="str">
        <f t="shared" si="1"/>
        <v/>
      </c>
    </row>
    <row r="112" spans="1:20" x14ac:dyDescent="0.3">
      <c r="A112" s="33" t="s">
        <v>61</v>
      </c>
      <c r="B112" s="31">
        <v>627</v>
      </c>
      <c r="C112" s="31" t="s">
        <v>123</v>
      </c>
      <c r="D112" s="31">
        <v>13.7</v>
      </c>
      <c r="E112" s="31">
        <v>9.32</v>
      </c>
      <c r="F112" s="31">
        <v>5</v>
      </c>
      <c r="G112" s="31"/>
      <c r="H112" s="31"/>
      <c r="I112" s="31"/>
      <c r="J112" s="31"/>
      <c r="K112" s="31"/>
      <c r="L112" s="31"/>
      <c r="M112" s="31"/>
      <c r="N112" s="31">
        <v>9.18</v>
      </c>
      <c r="O112" s="31">
        <v>28.02</v>
      </c>
      <c r="P112" s="31">
        <v>2</v>
      </c>
      <c r="Q112" s="31">
        <v>16.23</v>
      </c>
      <c r="R112" s="31">
        <v>2</v>
      </c>
      <c r="S112" s="31"/>
      <c r="T112" s="51" t="str">
        <f t="shared" si="1"/>
        <v/>
      </c>
    </row>
    <row r="113" spans="1:20" ht="16.2" thickBot="1" x14ac:dyDescent="0.35">
      <c r="A113" s="36" t="s">
        <v>61</v>
      </c>
      <c r="B113" s="32">
        <v>627</v>
      </c>
      <c r="C113" s="32" t="s">
        <v>123</v>
      </c>
      <c r="D113" s="32">
        <v>13.7</v>
      </c>
      <c r="E113" s="32">
        <v>5</v>
      </c>
      <c r="F113" s="32">
        <v>5</v>
      </c>
      <c r="G113" s="32"/>
      <c r="H113" s="32"/>
      <c r="I113" s="32"/>
      <c r="J113" s="32"/>
      <c r="K113" s="32"/>
      <c r="L113" s="32"/>
      <c r="M113" s="32"/>
      <c r="N113" s="32">
        <v>9.18</v>
      </c>
      <c r="O113" s="32">
        <v>23.7</v>
      </c>
      <c r="P113" s="32">
        <v>1</v>
      </c>
      <c r="Q113" s="32">
        <v>23.43</v>
      </c>
      <c r="R113" s="32">
        <v>3</v>
      </c>
      <c r="S113" s="32">
        <v>76.569999999999993</v>
      </c>
      <c r="T113" s="50" t="str">
        <f t="shared" si="1"/>
        <v>Satisfactory</v>
      </c>
    </row>
    <row r="114" spans="1:20" ht="16.2" thickTop="1" x14ac:dyDescent="0.3">
      <c r="A114" s="35" t="s">
        <v>62</v>
      </c>
      <c r="B114" s="34">
        <v>621</v>
      </c>
      <c r="C114" s="34" t="s">
        <v>123</v>
      </c>
      <c r="D114" s="34">
        <v>7.6</v>
      </c>
      <c r="E114" s="34">
        <v>6.77</v>
      </c>
      <c r="F114" s="34">
        <v>6.23</v>
      </c>
      <c r="G114" s="34"/>
      <c r="H114" s="34"/>
      <c r="I114" s="34"/>
      <c r="J114" s="34"/>
      <c r="K114" s="34"/>
      <c r="L114" s="34"/>
      <c r="M114" s="34"/>
      <c r="N114" s="34">
        <v>9.75</v>
      </c>
      <c r="O114" s="34">
        <v>20.6</v>
      </c>
      <c r="P114" s="34">
        <v>3</v>
      </c>
      <c r="Q114" s="34">
        <v>6.36</v>
      </c>
      <c r="R114" s="34">
        <v>1</v>
      </c>
      <c r="S114" s="34"/>
      <c r="T114" s="49" t="str">
        <f t="shared" si="1"/>
        <v/>
      </c>
    </row>
    <row r="115" spans="1:20" x14ac:dyDescent="0.3">
      <c r="A115" s="33" t="s">
        <v>62</v>
      </c>
      <c r="B115" s="31">
        <v>621</v>
      </c>
      <c r="C115" s="31" t="s">
        <v>123</v>
      </c>
      <c r="D115" s="31">
        <v>7.6</v>
      </c>
      <c r="E115" s="31">
        <v>6.77</v>
      </c>
      <c r="F115" s="31">
        <v>5</v>
      </c>
      <c r="G115" s="31"/>
      <c r="H115" s="31"/>
      <c r="I115" s="31"/>
      <c r="J115" s="31"/>
      <c r="K115" s="31"/>
      <c r="L115" s="31"/>
      <c r="M115" s="31"/>
      <c r="N115" s="31">
        <v>9.75</v>
      </c>
      <c r="O115" s="31">
        <v>19.37</v>
      </c>
      <c r="P115" s="31">
        <v>2</v>
      </c>
      <c r="Q115" s="31">
        <v>9.2899999999999991</v>
      </c>
      <c r="R115" s="31">
        <v>2</v>
      </c>
      <c r="S115" s="31"/>
      <c r="T115" s="51" t="str">
        <f t="shared" si="1"/>
        <v/>
      </c>
    </row>
    <row r="116" spans="1:20" ht="16.2" thickBot="1" x14ac:dyDescent="0.35">
      <c r="A116" s="36" t="s">
        <v>62</v>
      </c>
      <c r="B116" s="32">
        <v>621</v>
      </c>
      <c r="C116" s="32" t="s">
        <v>123</v>
      </c>
      <c r="D116" s="32">
        <v>7.6</v>
      </c>
      <c r="E116" s="32">
        <v>5</v>
      </c>
      <c r="F116" s="32">
        <v>5</v>
      </c>
      <c r="G116" s="32"/>
      <c r="H116" s="32"/>
      <c r="I116" s="32"/>
      <c r="J116" s="32"/>
      <c r="K116" s="32"/>
      <c r="L116" s="32"/>
      <c r="M116" s="32"/>
      <c r="N116" s="32">
        <v>9.75</v>
      </c>
      <c r="O116" s="32">
        <v>17.600000000000001</v>
      </c>
      <c r="P116" s="32">
        <v>1</v>
      </c>
      <c r="Q116" s="32">
        <v>17.34</v>
      </c>
      <c r="R116" s="32">
        <v>3</v>
      </c>
      <c r="S116" s="32">
        <v>82.66</v>
      </c>
      <c r="T116" s="50" t="str">
        <f t="shared" si="1"/>
        <v>Satisfactory</v>
      </c>
    </row>
    <row r="117" spans="1:20" ht="16.2" thickTop="1" x14ac:dyDescent="0.3">
      <c r="A117" s="35" t="s">
        <v>63</v>
      </c>
      <c r="B117" s="34">
        <v>690</v>
      </c>
      <c r="C117" s="34" t="s">
        <v>123</v>
      </c>
      <c r="D117" s="34">
        <v>14.72</v>
      </c>
      <c r="E117" s="34">
        <v>5.0999999999999996</v>
      </c>
      <c r="F117" s="34">
        <v>4.6100000000000003</v>
      </c>
      <c r="G117" s="34"/>
      <c r="H117" s="34"/>
      <c r="I117" s="34"/>
      <c r="J117" s="34"/>
      <c r="K117" s="34"/>
      <c r="L117" s="34"/>
      <c r="M117" s="34"/>
      <c r="N117" s="34">
        <v>9.08</v>
      </c>
      <c r="O117" s="34">
        <v>24.43</v>
      </c>
      <c r="P117" s="34">
        <v>2</v>
      </c>
      <c r="Q117" s="34">
        <v>13.37</v>
      </c>
      <c r="R117" s="34">
        <v>1</v>
      </c>
      <c r="S117" s="34"/>
      <c r="T117" s="49" t="str">
        <f t="shared" si="1"/>
        <v/>
      </c>
    </row>
    <row r="118" spans="1:20" ht="16.2" thickBot="1" x14ac:dyDescent="0.35">
      <c r="A118" s="36" t="s">
        <v>63</v>
      </c>
      <c r="B118" s="32">
        <v>690</v>
      </c>
      <c r="C118" s="32" t="s">
        <v>123</v>
      </c>
      <c r="D118" s="32">
        <v>14.72</v>
      </c>
      <c r="E118" s="32">
        <v>5</v>
      </c>
      <c r="F118" s="32">
        <v>4.6100000000000003</v>
      </c>
      <c r="G118" s="32"/>
      <c r="H118" s="32"/>
      <c r="I118" s="32"/>
      <c r="J118" s="32"/>
      <c r="K118" s="32"/>
      <c r="L118" s="32"/>
      <c r="M118" s="32"/>
      <c r="N118" s="32">
        <v>9.08</v>
      </c>
      <c r="O118" s="32">
        <v>24.33</v>
      </c>
      <c r="P118" s="32">
        <v>1</v>
      </c>
      <c r="Q118" s="32">
        <v>24.05</v>
      </c>
      <c r="R118" s="32">
        <v>2</v>
      </c>
      <c r="S118" s="32">
        <v>75.95</v>
      </c>
      <c r="T118" s="50" t="str">
        <f t="shared" si="1"/>
        <v>Satisfactory</v>
      </c>
    </row>
    <row r="119" spans="1:20" ht="16.8" thickTop="1" thickBot="1" x14ac:dyDescent="0.35">
      <c r="A119" s="37" t="s">
        <v>64</v>
      </c>
      <c r="B119" s="38">
        <v>627</v>
      </c>
      <c r="C119" s="38">
        <v>10.34</v>
      </c>
      <c r="D119" s="38">
        <v>10.34</v>
      </c>
      <c r="E119" s="38"/>
      <c r="F119" s="38"/>
      <c r="G119" s="38"/>
      <c r="H119" s="38"/>
      <c r="I119" s="38"/>
      <c r="J119" s="38"/>
      <c r="K119" s="38"/>
      <c r="L119" s="38"/>
      <c r="M119" s="38"/>
      <c r="N119" s="38">
        <v>9.49</v>
      </c>
      <c r="O119" s="38" t="s">
        <v>123</v>
      </c>
      <c r="P119" s="38" t="s">
        <v>123</v>
      </c>
      <c r="Q119" s="38" t="s">
        <v>123</v>
      </c>
      <c r="R119" s="38" t="s">
        <v>123</v>
      </c>
      <c r="S119" s="38">
        <v>89.66</v>
      </c>
      <c r="T119" s="52" t="str">
        <f t="shared" si="1"/>
        <v>Good</v>
      </c>
    </row>
    <row r="120" spans="1:20" ht="16.2" thickTop="1" x14ac:dyDescent="0.3">
      <c r="A120" s="35" t="s">
        <v>65</v>
      </c>
      <c r="B120" s="34">
        <v>621</v>
      </c>
      <c r="C120" s="34" t="s">
        <v>123</v>
      </c>
      <c r="D120" s="34">
        <v>18.78</v>
      </c>
      <c r="E120" s="34">
        <v>14.08</v>
      </c>
      <c r="F120" s="34">
        <v>9.61</v>
      </c>
      <c r="G120" s="34">
        <v>6.77</v>
      </c>
      <c r="H120" s="34">
        <v>2.2400000000000002</v>
      </c>
      <c r="I120" s="34"/>
      <c r="J120" s="34"/>
      <c r="K120" s="34"/>
      <c r="L120" s="34"/>
      <c r="M120" s="34"/>
      <c r="N120" s="34">
        <v>8.69</v>
      </c>
      <c r="O120" s="34">
        <v>51.48</v>
      </c>
      <c r="P120" s="34">
        <v>4</v>
      </c>
      <c r="Q120" s="34">
        <v>23.35</v>
      </c>
      <c r="R120" s="34">
        <v>1</v>
      </c>
      <c r="S120" s="34"/>
      <c r="T120" s="49" t="str">
        <f t="shared" si="1"/>
        <v/>
      </c>
    </row>
    <row r="121" spans="1:20" x14ac:dyDescent="0.3">
      <c r="A121" s="33" t="s">
        <v>65</v>
      </c>
      <c r="B121" s="31">
        <v>621</v>
      </c>
      <c r="C121" s="31" t="s">
        <v>123</v>
      </c>
      <c r="D121" s="31">
        <v>18.78</v>
      </c>
      <c r="E121" s="31">
        <v>14.08</v>
      </c>
      <c r="F121" s="31">
        <v>9.61</v>
      </c>
      <c r="G121" s="31">
        <v>5</v>
      </c>
      <c r="H121" s="31">
        <v>2.2400000000000002</v>
      </c>
      <c r="I121" s="31"/>
      <c r="J121" s="31"/>
      <c r="K121" s="31"/>
      <c r="L121" s="31"/>
      <c r="M121" s="31"/>
      <c r="N121" s="31">
        <v>8.69</v>
      </c>
      <c r="O121" s="31">
        <v>49.71</v>
      </c>
      <c r="P121" s="31">
        <v>3</v>
      </c>
      <c r="Q121" s="31">
        <v>28.86</v>
      </c>
      <c r="R121" s="31">
        <v>2</v>
      </c>
      <c r="S121" s="31"/>
      <c r="T121" s="51" t="str">
        <f t="shared" si="1"/>
        <v/>
      </c>
    </row>
    <row r="122" spans="1:20" x14ac:dyDescent="0.3">
      <c r="A122" s="33" t="s">
        <v>65</v>
      </c>
      <c r="B122" s="31">
        <v>621</v>
      </c>
      <c r="C122" s="31" t="s">
        <v>123</v>
      </c>
      <c r="D122" s="31">
        <v>18.78</v>
      </c>
      <c r="E122" s="31">
        <v>14.08</v>
      </c>
      <c r="F122" s="31">
        <v>5</v>
      </c>
      <c r="G122" s="31">
        <v>5</v>
      </c>
      <c r="H122" s="31">
        <v>2.2400000000000002</v>
      </c>
      <c r="I122" s="31"/>
      <c r="J122" s="31"/>
      <c r="K122" s="31"/>
      <c r="L122" s="31"/>
      <c r="M122" s="31"/>
      <c r="N122" s="31">
        <v>8.69</v>
      </c>
      <c r="O122" s="31">
        <v>45.1</v>
      </c>
      <c r="P122" s="31">
        <v>2</v>
      </c>
      <c r="Q122" s="31">
        <v>29.47</v>
      </c>
      <c r="R122" s="31">
        <v>3</v>
      </c>
      <c r="S122" s="31"/>
      <c r="T122" s="51" t="str">
        <f t="shared" si="1"/>
        <v/>
      </c>
    </row>
    <row r="123" spans="1:20" ht="16.2" thickBot="1" x14ac:dyDescent="0.35">
      <c r="A123" s="36" t="s">
        <v>65</v>
      </c>
      <c r="B123" s="32">
        <v>621</v>
      </c>
      <c r="C123" s="32" t="s">
        <v>123</v>
      </c>
      <c r="D123" s="32">
        <v>18.78</v>
      </c>
      <c r="E123" s="32">
        <v>5</v>
      </c>
      <c r="F123" s="32">
        <v>5</v>
      </c>
      <c r="G123" s="32">
        <v>5</v>
      </c>
      <c r="H123" s="32">
        <v>2.2400000000000002</v>
      </c>
      <c r="I123" s="32"/>
      <c r="J123" s="32"/>
      <c r="K123" s="32"/>
      <c r="L123" s="32"/>
      <c r="M123" s="32"/>
      <c r="N123" s="32">
        <v>8.69</v>
      </c>
      <c r="O123" s="32">
        <v>36.020000000000003</v>
      </c>
      <c r="P123" s="32">
        <v>1</v>
      </c>
      <c r="Q123" s="32">
        <v>35.729999999999997</v>
      </c>
      <c r="R123" s="32">
        <v>4</v>
      </c>
      <c r="S123" s="32">
        <v>64.27000000000001</v>
      </c>
      <c r="T123" s="50" t="str">
        <f t="shared" si="1"/>
        <v>Fair</v>
      </c>
    </row>
    <row r="124" spans="1:20" ht="16.8" thickTop="1" thickBot="1" x14ac:dyDescent="0.35">
      <c r="A124" s="37" t="s">
        <v>66</v>
      </c>
      <c r="B124" s="38">
        <v>690</v>
      </c>
      <c r="C124" s="38">
        <v>17.729999999999997</v>
      </c>
      <c r="D124" s="38">
        <v>9.61</v>
      </c>
      <c r="E124" s="38">
        <v>4.6100000000000003</v>
      </c>
      <c r="F124" s="38">
        <v>3.51</v>
      </c>
      <c r="G124" s="38"/>
      <c r="H124" s="38"/>
      <c r="I124" s="38"/>
      <c r="J124" s="38"/>
      <c r="K124" s="38"/>
      <c r="L124" s="38"/>
      <c r="M124" s="38"/>
      <c r="N124" s="38">
        <v>9.56</v>
      </c>
      <c r="O124" s="38" t="s">
        <v>123</v>
      </c>
      <c r="P124" s="38" t="s">
        <v>123</v>
      </c>
      <c r="Q124" s="38" t="s">
        <v>123</v>
      </c>
      <c r="R124" s="38" t="s">
        <v>123</v>
      </c>
      <c r="S124" s="38">
        <v>82.27000000000001</v>
      </c>
      <c r="T124" s="52" t="str">
        <f t="shared" si="1"/>
        <v>Satisfactory</v>
      </c>
    </row>
    <row r="125" spans="1:20" ht="16.2" thickTop="1" x14ac:dyDescent="0.3">
      <c r="A125" s="35" t="s">
        <v>135</v>
      </c>
      <c r="B125" s="34">
        <v>627</v>
      </c>
      <c r="C125" s="34" t="s">
        <v>123</v>
      </c>
      <c r="D125" s="34">
        <v>18.39</v>
      </c>
      <c r="E125" s="34">
        <v>11.72</v>
      </c>
      <c r="F125" s="34">
        <v>7.05</v>
      </c>
      <c r="G125" s="34"/>
      <c r="H125" s="34"/>
      <c r="I125" s="34"/>
      <c r="J125" s="34"/>
      <c r="K125" s="34"/>
      <c r="L125" s="34"/>
      <c r="M125" s="34"/>
      <c r="N125" s="34">
        <v>8.73</v>
      </c>
      <c r="O125" s="34">
        <v>37.159999999999997</v>
      </c>
      <c r="P125" s="34">
        <v>3</v>
      </c>
      <c r="Q125" s="34">
        <v>19.47</v>
      </c>
      <c r="R125" s="34">
        <v>1</v>
      </c>
      <c r="S125" s="34"/>
      <c r="T125" s="49" t="str">
        <f t="shared" si="1"/>
        <v/>
      </c>
    </row>
    <row r="126" spans="1:20" x14ac:dyDescent="0.3">
      <c r="A126" s="33" t="s">
        <v>135</v>
      </c>
      <c r="B126" s="31">
        <v>627</v>
      </c>
      <c r="C126" s="31" t="s">
        <v>123</v>
      </c>
      <c r="D126" s="31">
        <v>18.39</v>
      </c>
      <c r="E126" s="31">
        <v>11.72</v>
      </c>
      <c r="F126" s="31">
        <v>5</v>
      </c>
      <c r="G126" s="31"/>
      <c r="H126" s="31"/>
      <c r="I126" s="31"/>
      <c r="J126" s="31"/>
      <c r="K126" s="31"/>
      <c r="L126" s="31"/>
      <c r="M126" s="31"/>
      <c r="N126" s="31">
        <v>8.73</v>
      </c>
      <c r="O126" s="31">
        <v>35.11</v>
      </c>
      <c r="P126" s="31">
        <v>2</v>
      </c>
      <c r="Q126" s="31">
        <v>21.81</v>
      </c>
      <c r="R126" s="31">
        <v>2</v>
      </c>
      <c r="S126" s="31"/>
      <c r="T126" s="51" t="str">
        <f t="shared" si="1"/>
        <v/>
      </c>
    </row>
    <row r="127" spans="1:20" ht="16.2" thickBot="1" x14ac:dyDescent="0.35">
      <c r="A127" s="36" t="s">
        <v>135</v>
      </c>
      <c r="B127" s="32">
        <v>627</v>
      </c>
      <c r="C127" s="32" t="s">
        <v>123</v>
      </c>
      <c r="D127" s="32">
        <v>18.39</v>
      </c>
      <c r="E127" s="32">
        <v>5</v>
      </c>
      <c r="F127" s="32">
        <v>5</v>
      </c>
      <c r="G127" s="32"/>
      <c r="H127" s="32"/>
      <c r="I127" s="32"/>
      <c r="J127" s="32"/>
      <c r="K127" s="32"/>
      <c r="L127" s="32"/>
      <c r="M127" s="32"/>
      <c r="N127" s="32">
        <v>8.73</v>
      </c>
      <c r="O127" s="32">
        <v>28.39</v>
      </c>
      <c r="P127" s="32">
        <v>1</v>
      </c>
      <c r="Q127" s="32">
        <v>28.11</v>
      </c>
      <c r="R127" s="32">
        <v>3</v>
      </c>
      <c r="S127" s="32">
        <v>71.89</v>
      </c>
      <c r="T127" s="50" t="str">
        <f t="shared" ref="T127:T190" si="2">IF(S127="","",IF(AND(S127&lt;=100,S127&gt;85),"Good",IF(AND(S127&lt;=85,S127&gt;70),"Satisfactory",IF(AND(S127&lt;=70,S127&gt;55),"Fair",IF(AND(S127&lt;=55,S127&gt;40),"Poor",IF(AND(S127&lt;=40,S127&gt;25),"Very Poor",IF(AND(S127&lt;=25,S127&gt;10),"Serious",IF(AND(S127&lt;=10,S127&gt;=0),"Failed",""))))))))</f>
        <v>Satisfactory</v>
      </c>
    </row>
    <row r="128" spans="1:20" ht="16.8" thickTop="1" thickBot="1" x14ac:dyDescent="0.35">
      <c r="A128" s="37" t="s">
        <v>136</v>
      </c>
      <c r="B128" s="38">
        <v>621</v>
      </c>
      <c r="C128" s="38">
        <v>10.93</v>
      </c>
      <c r="D128" s="38">
        <v>6.3</v>
      </c>
      <c r="E128" s="38">
        <v>4.63</v>
      </c>
      <c r="F128" s="38"/>
      <c r="G128" s="38"/>
      <c r="H128" s="38"/>
      <c r="I128" s="38"/>
      <c r="J128" s="38"/>
      <c r="K128" s="38"/>
      <c r="L128" s="38"/>
      <c r="M128" s="38"/>
      <c r="N128" s="38">
        <v>9.8800000000000008</v>
      </c>
      <c r="O128" s="38" t="s">
        <v>123</v>
      </c>
      <c r="P128" s="38" t="s">
        <v>123</v>
      </c>
      <c r="Q128" s="38" t="s">
        <v>123</v>
      </c>
      <c r="R128" s="38" t="s">
        <v>123</v>
      </c>
      <c r="S128" s="38">
        <v>89.07</v>
      </c>
      <c r="T128" s="52" t="str">
        <f t="shared" si="2"/>
        <v>Good</v>
      </c>
    </row>
    <row r="129" spans="1:20" ht="16.8" thickTop="1" thickBot="1" x14ac:dyDescent="0.35">
      <c r="A129" s="37" t="s">
        <v>137</v>
      </c>
      <c r="B129" s="38">
        <v>690</v>
      </c>
      <c r="C129" s="38">
        <v>21.7</v>
      </c>
      <c r="D129" s="38">
        <v>13.58</v>
      </c>
      <c r="E129" s="38">
        <v>4.51</v>
      </c>
      <c r="F129" s="38">
        <v>3.61</v>
      </c>
      <c r="G129" s="38"/>
      <c r="H129" s="38"/>
      <c r="I129" s="38"/>
      <c r="J129" s="38"/>
      <c r="K129" s="38"/>
      <c r="L129" s="38"/>
      <c r="M129" s="38"/>
      <c r="N129" s="38">
        <v>9.19</v>
      </c>
      <c r="O129" s="38" t="s">
        <v>123</v>
      </c>
      <c r="P129" s="38" t="s">
        <v>123</v>
      </c>
      <c r="Q129" s="38" t="s">
        <v>123</v>
      </c>
      <c r="R129" s="38" t="s">
        <v>123</v>
      </c>
      <c r="S129" s="38">
        <v>78.3</v>
      </c>
      <c r="T129" s="52" t="str">
        <f t="shared" si="2"/>
        <v>Satisfactory</v>
      </c>
    </row>
    <row r="130" spans="1:20" ht="16.2" thickTop="1" x14ac:dyDescent="0.3">
      <c r="A130" s="35" t="s">
        <v>138</v>
      </c>
      <c r="B130" s="34">
        <v>627</v>
      </c>
      <c r="C130" s="34" t="s">
        <v>123</v>
      </c>
      <c r="D130" s="34">
        <v>15.68</v>
      </c>
      <c r="E130" s="34">
        <v>10.74</v>
      </c>
      <c r="F130" s="34">
        <v>6.73</v>
      </c>
      <c r="G130" s="34">
        <v>4.28</v>
      </c>
      <c r="H130" s="34"/>
      <c r="I130" s="34"/>
      <c r="J130" s="34"/>
      <c r="K130" s="34"/>
      <c r="L130" s="34"/>
      <c r="M130" s="34"/>
      <c r="N130" s="34">
        <v>8.99</v>
      </c>
      <c r="O130" s="34">
        <v>37.43</v>
      </c>
      <c r="P130" s="34">
        <v>3</v>
      </c>
      <c r="Q130" s="34">
        <v>19.68</v>
      </c>
      <c r="R130" s="34">
        <v>1</v>
      </c>
      <c r="S130" s="34"/>
      <c r="T130" s="49" t="str">
        <f t="shared" si="2"/>
        <v/>
      </c>
    </row>
    <row r="131" spans="1:20" x14ac:dyDescent="0.3">
      <c r="A131" s="33" t="s">
        <v>138</v>
      </c>
      <c r="B131" s="31">
        <v>627</v>
      </c>
      <c r="C131" s="31" t="s">
        <v>123</v>
      </c>
      <c r="D131" s="31">
        <v>15.68</v>
      </c>
      <c r="E131" s="31">
        <v>10.74</v>
      </c>
      <c r="F131" s="31">
        <v>5</v>
      </c>
      <c r="G131" s="31">
        <v>4.28</v>
      </c>
      <c r="H131" s="31"/>
      <c r="I131" s="31"/>
      <c r="J131" s="31"/>
      <c r="K131" s="31"/>
      <c r="L131" s="31"/>
      <c r="M131" s="31"/>
      <c r="N131" s="31">
        <v>8.99</v>
      </c>
      <c r="O131" s="31">
        <v>35.700000000000003</v>
      </c>
      <c r="P131" s="31">
        <v>2</v>
      </c>
      <c r="Q131" s="31">
        <v>22.26</v>
      </c>
      <c r="R131" s="31">
        <v>2</v>
      </c>
      <c r="S131" s="31"/>
      <c r="T131" s="51" t="str">
        <f t="shared" si="2"/>
        <v/>
      </c>
    </row>
    <row r="132" spans="1:20" ht="16.2" thickBot="1" x14ac:dyDescent="0.35">
      <c r="A132" s="36" t="s">
        <v>138</v>
      </c>
      <c r="B132" s="32">
        <v>627</v>
      </c>
      <c r="C132" s="32" t="s">
        <v>123</v>
      </c>
      <c r="D132" s="32">
        <v>15.68</v>
      </c>
      <c r="E132" s="32">
        <v>5</v>
      </c>
      <c r="F132" s="32">
        <v>5</v>
      </c>
      <c r="G132" s="32">
        <v>4.28</v>
      </c>
      <c r="H132" s="32"/>
      <c r="I132" s="32"/>
      <c r="J132" s="32"/>
      <c r="K132" s="32"/>
      <c r="L132" s="32"/>
      <c r="M132" s="32"/>
      <c r="N132" s="32">
        <v>8.99</v>
      </c>
      <c r="O132" s="32">
        <v>29.96</v>
      </c>
      <c r="P132" s="32">
        <v>1</v>
      </c>
      <c r="Q132" s="32">
        <v>29.67</v>
      </c>
      <c r="R132" s="32">
        <v>3</v>
      </c>
      <c r="S132" s="32">
        <v>70.33</v>
      </c>
      <c r="T132" s="50" t="str">
        <f t="shared" si="2"/>
        <v>Satisfactory</v>
      </c>
    </row>
    <row r="133" spans="1:20" ht="16.2" thickTop="1" x14ac:dyDescent="0.3">
      <c r="A133" s="35" t="s">
        <v>139</v>
      </c>
      <c r="B133" s="34">
        <v>621</v>
      </c>
      <c r="C133" s="34" t="s">
        <v>123</v>
      </c>
      <c r="D133" s="34">
        <v>17.149999999999999</v>
      </c>
      <c r="E133" s="34">
        <v>9.32</v>
      </c>
      <c r="F133" s="34">
        <v>7.84</v>
      </c>
      <c r="G133" s="34">
        <v>5.7</v>
      </c>
      <c r="H133" s="34"/>
      <c r="I133" s="34"/>
      <c r="J133" s="34"/>
      <c r="K133" s="34"/>
      <c r="L133" s="34"/>
      <c r="M133" s="34"/>
      <c r="N133" s="34">
        <v>8.85</v>
      </c>
      <c r="O133" s="34">
        <v>40.01</v>
      </c>
      <c r="P133" s="34">
        <v>4</v>
      </c>
      <c r="Q133" s="34">
        <v>15.54</v>
      </c>
      <c r="R133" s="34">
        <v>1</v>
      </c>
      <c r="S133" s="34"/>
      <c r="T133" s="49" t="str">
        <f t="shared" si="2"/>
        <v/>
      </c>
    </row>
    <row r="134" spans="1:20" x14ac:dyDescent="0.3">
      <c r="A134" s="33" t="s">
        <v>139</v>
      </c>
      <c r="B134" s="31">
        <v>621</v>
      </c>
      <c r="C134" s="31" t="s">
        <v>123</v>
      </c>
      <c r="D134" s="31">
        <v>17.149999999999999</v>
      </c>
      <c r="E134" s="31">
        <v>9.32</v>
      </c>
      <c r="F134" s="31">
        <v>7.84</v>
      </c>
      <c r="G134" s="31">
        <v>5</v>
      </c>
      <c r="H134" s="31"/>
      <c r="I134" s="31"/>
      <c r="J134" s="31"/>
      <c r="K134" s="31"/>
      <c r="L134" s="31"/>
      <c r="M134" s="31"/>
      <c r="N134" s="31">
        <v>8.85</v>
      </c>
      <c r="O134" s="31">
        <v>39.31</v>
      </c>
      <c r="P134" s="31">
        <v>3</v>
      </c>
      <c r="Q134" s="31">
        <v>21.11</v>
      </c>
      <c r="R134" s="31">
        <v>2</v>
      </c>
      <c r="S134" s="31"/>
      <c r="T134" s="51" t="str">
        <f t="shared" si="2"/>
        <v/>
      </c>
    </row>
    <row r="135" spans="1:20" x14ac:dyDescent="0.3">
      <c r="A135" s="33" t="s">
        <v>139</v>
      </c>
      <c r="B135" s="31">
        <v>621</v>
      </c>
      <c r="C135" s="31" t="s">
        <v>123</v>
      </c>
      <c r="D135" s="31">
        <v>17.149999999999999</v>
      </c>
      <c r="E135" s="31">
        <v>9.32</v>
      </c>
      <c r="F135" s="31">
        <v>5</v>
      </c>
      <c r="G135" s="31">
        <v>5</v>
      </c>
      <c r="H135" s="31"/>
      <c r="I135" s="31"/>
      <c r="J135" s="31"/>
      <c r="K135" s="31"/>
      <c r="L135" s="31"/>
      <c r="M135" s="31"/>
      <c r="N135" s="31">
        <v>8.85</v>
      </c>
      <c r="O135" s="31">
        <v>36.47</v>
      </c>
      <c r="P135" s="31">
        <v>2</v>
      </c>
      <c r="Q135" s="31">
        <v>22.86</v>
      </c>
      <c r="R135" s="31">
        <v>3</v>
      </c>
      <c r="S135" s="31"/>
      <c r="T135" s="51" t="str">
        <f t="shared" si="2"/>
        <v/>
      </c>
    </row>
    <row r="136" spans="1:20" ht="16.2" thickBot="1" x14ac:dyDescent="0.35">
      <c r="A136" s="36" t="s">
        <v>139</v>
      </c>
      <c r="B136" s="32">
        <v>621</v>
      </c>
      <c r="C136" s="32" t="s">
        <v>123</v>
      </c>
      <c r="D136" s="32">
        <v>17.149999999999999</v>
      </c>
      <c r="E136" s="32">
        <v>5</v>
      </c>
      <c r="F136" s="32">
        <v>5</v>
      </c>
      <c r="G136" s="32">
        <v>5</v>
      </c>
      <c r="H136" s="32"/>
      <c r="I136" s="32"/>
      <c r="J136" s="32"/>
      <c r="K136" s="32"/>
      <c r="L136" s="32"/>
      <c r="M136" s="32"/>
      <c r="N136" s="32">
        <v>8.85</v>
      </c>
      <c r="O136" s="32">
        <v>32.15</v>
      </c>
      <c r="P136" s="32">
        <v>1</v>
      </c>
      <c r="Q136" s="32">
        <v>31.86</v>
      </c>
      <c r="R136" s="32">
        <v>4</v>
      </c>
      <c r="S136" s="32">
        <v>68.14</v>
      </c>
      <c r="T136" s="50" t="str">
        <f t="shared" si="2"/>
        <v>Fair</v>
      </c>
    </row>
    <row r="137" spans="1:20" ht="16.2" thickTop="1" x14ac:dyDescent="0.3">
      <c r="A137" s="35" t="s">
        <v>140</v>
      </c>
      <c r="B137" s="34">
        <v>690</v>
      </c>
      <c r="C137" s="34" t="s">
        <v>123</v>
      </c>
      <c r="D137" s="34">
        <v>11.32</v>
      </c>
      <c r="E137" s="34">
        <v>5.77</v>
      </c>
      <c r="F137" s="34">
        <v>5.0999999999999996</v>
      </c>
      <c r="G137" s="34">
        <v>4.6100000000000003</v>
      </c>
      <c r="H137" s="34"/>
      <c r="I137" s="34"/>
      <c r="J137" s="34"/>
      <c r="K137" s="34"/>
      <c r="L137" s="34"/>
      <c r="M137" s="34"/>
      <c r="N137" s="34">
        <v>9.4</v>
      </c>
      <c r="O137" s="34">
        <v>26.8</v>
      </c>
      <c r="P137" s="34">
        <v>3</v>
      </c>
      <c r="Q137" s="34">
        <v>11.36</v>
      </c>
      <c r="R137" s="34">
        <v>1</v>
      </c>
      <c r="S137" s="34"/>
      <c r="T137" s="49" t="str">
        <f t="shared" si="2"/>
        <v/>
      </c>
    </row>
    <row r="138" spans="1:20" x14ac:dyDescent="0.3">
      <c r="A138" s="33" t="s">
        <v>140</v>
      </c>
      <c r="B138" s="31">
        <v>690</v>
      </c>
      <c r="C138" s="31" t="s">
        <v>123</v>
      </c>
      <c r="D138" s="31">
        <v>11.32</v>
      </c>
      <c r="E138" s="31">
        <v>5.77</v>
      </c>
      <c r="F138" s="31">
        <v>5</v>
      </c>
      <c r="G138" s="31">
        <v>4.6100000000000003</v>
      </c>
      <c r="H138" s="31"/>
      <c r="I138" s="31"/>
      <c r="J138" s="31"/>
      <c r="K138" s="31"/>
      <c r="L138" s="31"/>
      <c r="M138" s="31"/>
      <c r="N138" s="31">
        <v>9.4</v>
      </c>
      <c r="O138" s="31">
        <v>26.7</v>
      </c>
      <c r="P138" s="31">
        <v>2</v>
      </c>
      <c r="Q138" s="31">
        <v>15.18</v>
      </c>
      <c r="R138" s="31">
        <v>2</v>
      </c>
      <c r="S138" s="31"/>
      <c r="T138" s="51" t="str">
        <f t="shared" si="2"/>
        <v/>
      </c>
    </row>
    <row r="139" spans="1:20" ht="16.2" thickBot="1" x14ac:dyDescent="0.35">
      <c r="A139" s="36" t="s">
        <v>140</v>
      </c>
      <c r="B139" s="32">
        <v>690</v>
      </c>
      <c r="C139" s="32" t="s">
        <v>123</v>
      </c>
      <c r="D139" s="32">
        <v>11.32</v>
      </c>
      <c r="E139" s="32">
        <v>5</v>
      </c>
      <c r="F139" s="32">
        <v>5</v>
      </c>
      <c r="G139" s="32">
        <v>4.6100000000000003</v>
      </c>
      <c r="H139" s="32"/>
      <c r="I139" s="32"/>
      <c r="J139" s="32"/>
      <c r="K139" s="32"/>
      <c r="L139" s="32"/>
      <c r="M139" s="32"/>
      <c r="N139" s="32">
        <v>9.4</v>
      </c>
      <c r="O139" s="32">
        <v>25.93</v>
      </c>
      <c r="P139" s="32">
        <v>1</v>
      </c>
      <c r="Q139" s="32">
        <v>25.65</v>
      </c>
      <c r="R139" s="32">
        <v>3</v>
      </c>
      <c r="S139" s="32">
        <v>74.349999999999994</v>
      </c>
      <c r="T139" s="50" t="str">
        <f t="shared" si="2"/>
        <v>Satisfactory</v>
      </c>
    </row>
    <row r="140" spans="1:20" ht="16.8" thickTop="1" thickBot="1" x14ac:dyDescent="0.35">
      <c r="A140" s="37" t="s">
        <v>141</v>
      </c>
      <c r="B140" s="38">
        <v>627</v>
      </c>
      <c r="C140" s="38">
        <v>11.629999999999999</v>
      </c>
      <c r="D140" s="38">
        <v>7.05</v>
      </c>
      <c r="E140" s="38">
        <v>4.58</v>
      </c>
      <c r="F140" s="38"/>
      <c r="G140" s="38"/>
      <c r="H140" s="38"/>
      <c r="I140" s="38"/>
      <c r="J140" s="38"/>
      <c r="K140" s="38"/>
      <c r="L140" s="38"/>
      <c r="M140" s="38"/>
      <c r="N140" s="38">
        <v>9.81</v>
      </c>
      <c r="O140" s="38" t="s">
        <v>123</v>
      </c>
      <c r="P140" s="38" t="s">
        <v>123</v>
      </c>
      <c r="Q140" s="38" t="s">
        <v>123</v>
      </c>
      <c r="R140" s="38" t="s">
        <v>123</v>
      </c>
      <c r="S140" s="38">
        <v>88.37</v>
      </c>
      <c r="T140" s="52" t="str">
        <f t="shared" si="2"/>
        <v>Good</v>
      </c>
    </row>
    <row r="141" spans="1:20" ht="16.2" thickTop="1" x14ac:dyDescent="0.3">
      <c r="A141" s="35" t="s">
        <v>142</v>
      </c>
      <c r="B141" s="34">
        <v>621</v>
      </c>
      <c r="C141" s="34" t="s">
        <v>123</v>
      </c>
      <c r="D141" s="34">
        <v>7.55</v>
      </c>
      <c r="E141" s="34">
        <v>7.04</v>
      </c>
      <c r="F141" s="34">
        <v>6.57</v>
      </c>
      <c r="G141" s="34">
        <v>5.41</v>
      </c>
      <c r="H141" s="34"/>
      <c r="I141" s="34"/>
      <c r="J141" s="34"/>
      <c r="K141" s="34"/>
      <c r="L141" s="34"/>
      <c r="M141" s="34"/>
      <c r="N141" s="34">
        <v>9.76</v>
      </c>
      <c r="O141" s="34">
        <v>26.57</v>
      </c>
      <c r="P141" s="34">
        <v>4</v>
      </c>
      <c r="Q141" s="34">
        <v>5.92</v>
      </c>
      <c r="R141" s="34">
        <v>1</v>
      </c>
      <c r="S141" s="34"/>
      <c r="T141" s="49" t="str">
        <f t="shared" si="2"/>
        <v/>
      </c>
    </row>
    <row r="142" spans="1:20" x14ac:dyDescent="0.3">
      <c r="A142" s="33" t="s">
        <v>142</v>
      </c>
      <c r="B142" s="31">
        <v>621</v>
      </c>
      <c r="C142" s="31" t="s">
        <v>123</v>
      </c>
      <c r="D142" s="31">
        <v>7.55</v>
      </c>
      <c r="E142" s="31">
        <v>7.04</v>
      </c>
      <c r="F142" s="31">
        <v>6.57</v>
      </c>
      <c r="G142" s="31">
        <v>5</v>
      </c>
      <c r="H142" s="31"/>
      <c r="I142" s="31"/>
      <c r="J142" s="31"/>
      <c r="K142" s="31"/>
      <c r="L142" s="31"/>
      <c r="M142" s="31"/>
      <c r="N142" s="31">
        <v>9.76</v>
      </c>
      <c r="O142" s="31">
        <v>26.16</v>
      </c>
      <c r="P142" s="31">
        <v>3</v>
      </c>
      <c r="Q142" s="31">
        <v>10.85</v>
      </c>
      <c r="R142" s="31">
        <v>2</v>
      </c>
      <c r="S142" s="31"/>
      <c r="T142" s="51" t="str">
        <f t="shared" si="2"/>
        <v/>
      </c>
    </row>
    <row r="143" spans="1:20" x14ac:dyDescent="0.3">
      <c r="A143" s="33" t="s">
        <v>142</v>
      </c>
      <c r="B143" s="31">
        <v>621</v>
      </c>
      <c r="C143" s="31" t="s">
        <v>123</v>
      </c>
      <c r="D143" s="31">
        <v>7.55</v>
      </c>
      <c r="E143" s="31">
        <v>7.04</v>
      </c>
      <c r="F143" s="31">
        <v>5</v>
      </c>
      <c r="G143" s="31">
        <v>5</v>
      </c>
      <c r="H143" s="31"/>
      <c r="I143" s="31"/>
      <c r="J143" s="31"/>
      <c r="K143" s="31"/>
      <c r="L143" s="31"/>
      <c r="M143" s="31"/>
      <c r="N143" s="31">
        <v>9.76</v>
      </c>
      <c r="O143" s="31">
        <v>24.59</v>
      </c>
      <c r="P143" s="31">
        <v>2</v>
      </c>
      <c r="Q143" s="31">
        <v>13.5</v>
      </c>
      <c r="R143" s="31">
        <v>3</v>
      </c>
      <c r="S143" s="31"/>
      <c r="T143" s="51" t="str">
        <f t="shared" si="2"/>
        <v/>
      </c>
    </row>
    <row r="144" spans="1:20" ht="16.2" thickBot="1" x14ac:dyDescent="0.35">
      <c r="A144" s="36" t="s">
        <v>142</v>
      </c>
      <c r="B144" s="32">
        <v>621</v>
      </c>
      <c r="C144" s="32" t="s">
        <v>123</v>
      </c>
      <c r="D144" s="32">
        <v>7.55</v>
      </c>
      <c r="E144" s="32">
        <v>5</v>
      </c>
      <c r="F144" s="32">
        <v>5</v>
      </c>
      <c r="G144" s="32">
        <v>5</v>
      </c>
      <c r="H144" s="32"/>
      <c r="I144" s="32"/>
      <c r="J144" s="32"/>
      <c r="K144" s="32"/>
      <c r="L144" s="32"/>
      <c r="M144" s="32"/>
      <c r="N144" s="32">
        <v>9.76</v>
      </c>
      <c r="O144" s="32">
        <v>22.55</v>
      </c>
      <c r="P144" s="32">
        <v>1</v>
      </c>
      <c r="Q144" s="32">
        <v>22.28</v>
      </c>
      <c r="R144" s="32">
        <v>4</v>
      </c>
      <c r="S144" s="32">
        <v>77.72</v>
      </c>
      <c r="T144" s="50" t="str">
        <f t="shared" si="2"/>
        <v>Satisfactory</v>
      </c>
    </row>
    <row r="145" spans="1:20" ht="16.2" thickTop="1" x14ac:dyDescent="0.3">
      <c r="A145" s="35" t="s">
        <v>143</v>
      </c>
      <c r="B145" s="34">
        <v>690</v>
      </c>
      <c r="C145" s="34" t="s">
        <v>123</v>
      </c>
      <c r="D145" s="34">
        <v>12.65</v>
      </c>
      <c r="E145" s="34">
        <v>10.65</v>
      </c>
      <c r="F145" s="34">
        <v>6.97</v>
      </c>
      <c r="G145" s="34">
        <v>5.51</v>
      </c>
      <c r="H145" s="34"/>
      <c r="I145" s="34"/>
      <c r="J145" s="34"/>
      <c r="K145" s="34"/>
      <c r="L145" s="34"/>
      <c r="M145" s="34"/>
      <c r="N145" s="34">
        <v>9.2799999999999994</v>
      </c>
      <c r="O145" s="34">
        <v>35.78</v>
      </c>
      <c r="P145" s="34">
        <v>4</v>
      </c>
      <c r="Q145" s="34">
        <v>12.57</v>
      </c>
      <c r="R145" s="34">
        <v>1</v>
      </c>
      <c r="S145" s="34"/>
      <c r="T145" s="49" t="str">
        <f t="shared" si="2"/>
        <v/>
      </c>
    </row>
    <row r="146" spans="1:20" x14ac:dyDescent="0.3">
      <c r="A146" s="33" t="s">
        <v>143</v>
      </c>
      <c r="B146" s="31">
        <v>690</v>
      </c>
      <c r="C146" s="31" t="s">
        <v>123</v>
      </c>
      <c r="D146" s="31">
        <v>12.65</v>
      </c>
      <c r="E146" s="31">
        <v>10.65</v>
      </c>
      <c r="F146" s="31">
        <v>6.97</v>
      </c>
      <c r="G146" s="31">
        <v>5</v>
      </c>
      <c r="H146" s="31"/>
      <c r="I146" s="31"/>
      <c r="J146" s="31"/>
      <c r="K146" s="31"/>
      <c r="L146" s="31"/>
      <c r="M146" s="31"/>
      <c r="N146" s="31">
        <v>9.2799999999999994</v>
      </c>
      <c r="O146" s="31">
        <v>35.270000000000003</v>
      </c>
      <c r="P146" s="31">
        <v>3</v>
      </c>
      <c r="Q146" s="31">
        <v>18.02</v>
      </c>
      <c r="R146" s="31">
        <v>2</v>
      </c>
      <c r="S146" s="31"/>
      <c r="T146" s="51" t="str">
        <f t="shared" si="2"/>
        <v/>
      </c>
    </row>
    <row r="147" spans="1:20" x14ac:dyDescent="0.3">
      <c r="A147" s="33" t="s">
        <v>143</v>
      </c>
      <c r="B147" s="31">
        <v>690</v>
      </c>
      <c r="C147" s="31" t="s">
        <v>123</v>
      </c>
      <c r="D147" s="31">
        <v>12.65</v>
      </c>
      <c r="E147" s="31">
        <v>10.65</v>
      </c>
      <c r="F147" s="31">
        <v>5</v>
      </c>
      <c r="G147" s="31">
        <v>5</v>
      </c>
      <c r="H147" s="31"/>
      <c r="I147" s="31"/>
      <c r="J147" s="31"/>
      <c r="K147" s="31"/>
      <c r="L147" s="31"/>
      <c r="M147" s="31"/>
      <c r="N147" s="31">
        <v>9.2799999999999994</v>
      </c>
      <c r="O147" s="31">
        <v>33.299999999999997</v>
      </c>
      <c r="P147" s="31">
        <v>2</v>
      </c>
      <c r="Q147" s="31">
        <v>20.39</v>
      </c>
      <c r="R147" s="31">
        <v>3</v>
      </c>
      <c r="S147" s="31"/>
      <c r="T147" s="51" t="str">
        <f t="shared" si="2"/>
        <v/>
      </c>
    </row>
    <row r="148" spans="1:20" ht="16.2" thickBot="1" x14ac:dyDescent="0.35">
      <c r="A148" s="36" t="s">
        <v>143</v>
      </c>
      <c r="B148" s="32">
        <v>690</v>
      </c>
      <c r="C148" s="32" t="s">
        <v>123</v>
      </c>
      <c r="D148" s="32">
        <v>12.65</v>
      </c>
      <c r="E148" s="32">
        <v>5</v>
      </c>
      <c r="F148" s="32">
        <v>5</v>
      </c>
      <c r="G148" s="32">
        <v>5</v>
      </c>
      <c r="H148" s="32"/>
      <c r="I148" s="32"/>
      <c r="J148" s="32"/>
      <c r="K148" s="32"/>
      <c r="L148" s="32"/>
      <c r="M148" s="32"/>
      <c r="N148" s="32">
        <v>9.2799999999999994</v>
      </c>
      <c r="O148" s="32">
        <v>27.65</v>
      </c>
      <c r="P148" s="32">
        <v>1</v>
      </c>
      <c r="Q148" s="32">
        <v>27.37</v>
      </c>
      <c r="R148" s="32">
        <v>4</v>
      </c>
      <c r="S148" s="32">
        <v>72.63</v>
      </c>
      <c r="T148" s="50" t="str">
        <f t="shared" si="2"/>
        <v>Satisfactory</v>
      </c>
    </row>
    <row r="149" spans="1:20" ht="16.2" thickTop="1" x14ac:dyDescent="0.3">
      <c r="A149" s="35" t="s">
        <v>144</v>
      </c>
      <c r="B149" s="34">
        <v>627</v>
      </c>
      <c r="C149" s="34" t="s">
        <v>123</v>
      </c>
      <c r="D149" s="34">
        <v>12.06</v>
      </c>
      <c r="E149" s="34">
        <v>11.57</v>
      </c>
      <c r="F149" s="34">
        <v>8.2899999999999991</v>
      </c>
      <c r="G149" s="34">
        <v>5.63</v>
      </c>
      <c r="H149" s="34">
        <v>5.38</v>
      </c>
      <c r="I149" s="34"/>
      <c r="J149" s="34"/>
      <c r="K149" s="34"/>
      <c r="L149" s="34"/>
      <c r="M149" s="34"/>
      <c r="N149" s="34">
        <v>9.33</v>
      </c>
      <c r="O149" s="34">
        <v>42.93</v>
      </c>
      <c r="P149" s="34">
        <v>5</v>
      </c>
      <c r="Q149" s="34">
        <v>17.61</v>
      </c>
      <c r="R149" s="34">
        <v>1</v>
      </c>
      <c r="S149" s="34"/>
      <c r="T149" s="49" t="str">
        <f t="shared" si="2"/>
        <v/>
      </c>
    </row>
    <row r="150" spans="1:20" x14ac:dyDescent="0.3">
      <c r="A150" s="33" t="s">
        <v>144</v>
      </c>
      <c r="B150" s="31">
        <v>627</v>
      </c>
      <c r="C150" s="31" t="s">
        <v>123</v>
      </c>
      <c r="D150" s="31">
        <v>12.06</v>
      </c>
      <c r="E150" s="31">
        <v>11.57</v>
      </c>
      <c r="F150" s="31">
        <v>8.2899999999999991</v>
      </c>
      <c r="G150" s="31">
        <v>5.63</v>
      </c>
      <c r="H150" s="31">
        <v>5</v>
      </c>
      <c r="I150" s="31"/>
      <c r="J150" s="31"/>
      <c r="K150" s="31"/>
      <c r="L150" s="31"/>
      <c r="M150" s="31"/>
      <c r="N150" s="31">
        <v>9.33</v>
      </c>
      <c r="O150" s="31">
        <v>42.55</v>
      </c>
      <c r="P150" s="31">
        <v>4</v>
      </c>
      <c r="Q150" s="31">
        <v>17.3</v>
      </c>
      <c r="R150" s="31">
        <v>2</v>
      </c>
      <c r="S150" s="31"/>
      <c r="T150" s="51" t="str">
        <f t="shared" si="2"/>
        <v/>
      </c>
    </row>
    <row r="151" spans="1:20" x14ac:dyDescent="0.3">
      <c r="A151" s="33" t="s">
        <v>144</v>
      </c>
      <c r="B151" s="31">
        <v>627</v>
      </c>
      <c r="C151" s="31" t="s">
        <v>123</v>
      </c>
      <c r="D151" s="31">
        <v>12.06</v>
      </c>
      <c r="E151" s="31">
        <v>11.57</v>
      </c>
      <c r="F151" s="31">
        <v>8.2899999999999991</v>
      </c>
      <c r="G151" s="31">
        <v>5</v>
      </c>
      <c r="H151" s="31">
        <v>5</v>
      </c>
      <c r="I151" s="31"/>
      <c r="J151" s="31"/>
      <c r="K151" s="31"/>
      <c r="L151" s="31"/>
      <c r="M151" s="31"/>
      <c r="N151" s="31">
        <v>9.33</v>
      </c>
      <c r="O151" s="31">
        <v>41.92</v>
      </c>
      <c r="P151" s="31">
        <v>3</v>
      </c>
      <c r="Q151" s="31">
        <v>23.09</v>
      </c>
      <c r="R151" s="31">
        <v>3</v>
      </c>
      <c r="S151" s="31"/>
      <c r="T151" s="51" t="str">
        <f t="shared" si="2"/>
        <v/>
      </c>
    </row>
    <row r="152" spans="1:20" x14ac:dyDescent="0.3">
      <c r="A152" s="33" t="s">
        <v>144</v>
      </c>
      <c r="B152" s="31">
        <v>627</v>
      </c>
      <c r="C152" s="31" t="s">
        <v>123</v>
      </c>
      <c r="D152" s="31">
        <v>12.06</v>
      </c>
      <c r="E152" s="31">
        <v>11.57</v>
      </c>
      <c r="F152" s="31">
        <v>5</v>
      </c>
      <c r="G152" s="31">
        <v>5</v>
      </c>
      <c r="H152" s="31">
        <v>5</v>
      </c>
      <c r="I152" s="31"/>
      <c r="J152" s="31"/>
      <c r="K152" s="31"/>
      <c r="L152" s="31"/>
      <c r="M152" s="31"/>
      <c r="N152" s="31">
        <v>9.33</v>
      </c>
      <c r="O152" s="31">
        <v>38.630000000000003</v>
      </c>
      <c r="P152" s="31">
        <v>2</v>
      </c>
      <c r="Q152" s="31">
        <v>24.53</v>
      </c>
      <c r="R152" s="31">
        <v>4</v>
      </c>
      <c r="S152" s="31"/>
      <c r="T152" s="51" t="str">
        <f t="shared" si="2"/>
        <v/>
      </c>
    </row>
    <row r="153" spans="1:20" ht="16.2" thickBot="1" x14ac:dyDescent="0.35">
      <c r="A153" s="36" t="s">
        <v>144</v>
      </c>
      <c r="B153" s="32">
        <v>627</v>
      </c>
      <c r="C153" s="32" t="s">
        <v>123</v>
      </c>
      <c r="D153" s="32">
        <v>12.06</v>
      </c>
      <c r="E153" s="32">
        <v>5</v>
      </c>
      <c r="F153" s="32">
        <v>5</v>
      </c>
      <c r="G153" s="32">
        <v>5</v>
      </c>
      <c r="H153" s="32">
        <v>5</v>
      </c>
      <c r="I153" s="32"/>
      <c r="J153" s="32"/>
      <c r="K153" s="32"/>
      <c r="L153" s="32"/>
      <c r="M153" s="32"/>
      <c r="N153" s="32">
        <v>9.33</v>
      </c>
      <c r="O153" s="32">
        <v>32.06</v>
      </c>
      <c r="P153" s="32">
        <v>1</v>
      </c>
      <c r="Q153" s="32">
        <v>31.77</v>
      </c>
      <c r="R153" s="32">
        <v>5</v>
      </c>
      <c r="S153" s="32">
        <v>68.23</v>
      </c>
      <c r="T153" s="50" t="str">
        <f t="shared" si="2"/>
        <v>Fair</v>
      </c>
    </row>
    <row r="154" spans="1:20" ht="16.2" thickTop="1" x14ac:dyDescent="0.3">
      <c r="A154" s="35" t="s">
        <v>145</v>
      </c>
      <c r="B154" s="34">
        <v>621</v>
      </c>
      <c r="C154" s="34" t="s">
        <v>123</v>
      </c>
      <c r="D154" s="34">
        <v>19.95</v>
      </c>
      <c r="E154" s="34">
        <v>6.77</v>
      </c>
      <c r="F154" s="34">
        <v>5.19</v>
      </c>
      <c r="G154" s="34">
        <v>5.01</v>
      </c>
      <c r="H154" s="34"/>
      <c r="I154" s="34"/>
      <c r="J154" s="34"/>
      <c r="K154" s="34"/>
      <c r="L154" s="34"/>
      <c r="M154" s="34"/>
      <c r="N154" s="34">
        <v>8.58</v>
      </c>
      <c r="O154" s="34">
        <v>36.92</v>
      </c>
      <c r="P154" s="34">
        <v>4</v>
      </c>
      <c r="Q154" s="34">
        <v>13.38</v>
      </c>
      <c r="R154" s="34">
        <v>1</v>
      </c>
      <c r="S154" s="34"/>
      <c r="T154" s="49" t="str">
        <f t="shared" si="2"/>
        <v/>
      </c>
    </row>
    <row r="155" spans="1:20" x14ac:dyDescent="0.3">
      <c r="A155" s="33" t="s">
        <v>145</v>
      </c>
      <c r="B155" s="31">
        <v>621</v>
      </c>
      <c r="C155" s="31" t="s">
        <v>123</v>
      </c>
      <c r="D155" s="31">
        <v>19.95</v>
      </c>
      <c r="E155" s="31">
        <v>6.77</v>
      </c>
      <c r="F155" s="31">
        <v>5.19</v>
      </c>
      <c r="G155" s="31">
        <v>5</v>
      </c>
      <c r="H155" s="31"/>
      <c r="I155" s="31"/>
      <c r="J155" s="31"/>
      <c r="K155" s="31"/>
      <c r="L155" s="31"/>
      <c r="M155" s="31"/>
      <c r="N155" s="31">
        <v>8.58</v>
      </c>
      <c r="O155" s="31">
        <v>36.909999999999997</v>
      </c>
      <c r="P155" s="31">
        <v>3</v>
      </c>
      <c r="Q155" s="31">
        <v>19.28</v>
      </c>
      <c r="R155" s="31">
        <v>2</v>
      </c>
      <c r="S155" s="31"/>
      <c r="T155" s="51" t="str">
        <f t="shared" si="2"/>
        <v/>
      </c>
    </row>
    <row r="156" spans="1:20" x14ac:dyDescent="0.3">
      <c r="A156" s="33" t="s">
        <v>145</v>
      </c>
      <c r="B156" s="31">
        <v>621</v>
      </c>
      <c r="C156" s="31" t="s">
        <v>123</v>
      </c>
      <c r="D156" s="31">
        <v>19.95</v>
      </c>
      <c r="E156" s="31">
        <v>6.77</v>
      </c>
      <c r="F156" s="31">
        <v>5</v>
      </c>
      <c r="G156" s="31">
        <v>5</v>
      </c>
      <c r="H156" s="31"/>
      <c r="I156" s="31"/>
      <c r="J156" s="31"/>
      <c r="K156" s="31"/>
      <c r="L156" s="31"/>
      <c r="M156" s="31"/>
      <c r="N156" s="31">
        <v>8.58</v>
      </c>
      <c r="O156" s="31">
        <v>36.72</v>
      </c>
      <c r="P156" s="31">
        <v>2</v>
      </c>
      <c r="Q156" s="31">
        <v>23.05</v>
      </c>
      <c r="R156" s="31">
        <v>3</v>
      </c>
      <c r="S156" s="31"/>
      <c r="T156" s="51" t="str">
        <f t="shared" si="2"/>
        <v/>
      </c>
    </row>
    <row r="157" spans="1:20" ht="16.2" thickBot="1" x14ac:dyDescent="0.35">
      <c r="A157" s="36" t="s">
        <v>145</v>
      </c>
      <c r="B157" s="32">
        <v>621</v>
      </c>
      <c r="C157" s="32" t="s">
        <v>123</v>
      </c>
      <c r="D157" s="32">
        <v>19.95</v>
      </c>
      <c r="E157" s="32">
        <v>5</v>
      </c>
      <c r="F157" s="32">
        <v>5</v>
      </c>
      <c r="G157" s="32">
        <v>5</v>
      </c>
      <c r="H157" s="32"/>
      <c r="I157" s="32"/>
      <c r="J157" s="32"/>
      <c r="K157" s="32"/>
      <c r="L157" s="32"/>
      <c r="M157" s="32"/>
      <c r="N157" s="32">
        <v>8.58</v>
      </c>
      <c r="O157" s="32">
        <v>34.950000000000003</v>
      </c>
      <c r="P157" s="32">
        <v>1</v>
      </c>
      <c r="Q157" s="32">
        <v>34.659999999999997</v>
      </c>
      <c r="R157" s="32">
        <v>4</v>
      </c>
      <c r="S157" s="32">
        <v>65.34</v>
      </c>
      <c r="T157" s="50" t="str">
        <f t="shared" si="2"/>
        <v>Fair</v>
      </c>
    </row>
    <row r="158" spans="1:20" ht="16.2" thickTop="1" x14ac:dyDescent="0.3">
      <c r="A158" s="35" t="s">
        <v>146</v>
      </c>
      <c r="B158" s="34">
        <v>690</v>
      </c>
      <c r="C158" s="34" t="s">
        <v>123</v>
      </c>
      <c r="D158" s="34">
        <v>15.52</v>
      </c>
      <c r="E158" s="34">
        <v>6.39</v>
      </c>
      <c r="F158" s="34">
        <v>5.23</v>
      </c>
      <c r="G158" s="34"/>
      <c r="H158" s="34"/>
      <c r="I158" s="34"/>
      <c r="J158" s="34"/>
      <c r="K158" s="34"/>
      <c r="L158" s="34"/>
      <c r="M158" s="34"/>
      <c r="N158" s="34">
        <v>9</v>
      </c>
      <c r="O158" s="34">
        <v>27.14</v>
      </c>
      <c r="P158" s="34">
        <v>3</v>
      </c>
      <c r="Q158" s="34">
        <v>11.64</v>
      </c>
      <c r="R158" s="34">
        <v>1</v>
      </c>
      <c r="S158" s="34"/>
      <c r="T158" s="49" t="str">
        <f t="shared" si="2"/>
        <v/>
      </c>
    </row>
    <row r="159" spans="1:20" x14ac:dyDescent="0.3">
      <c r="A159" s="33" t="s">
        <v>146</v>
      </c>
      <c r="B159" s="31">
        <v>690</v>
      </c>
      <c r="C159" s="31" t="s">
        <v>123</v>
      </c>
      <c r="D159" s="31">
        <v>15.52</v>
      </c>
      <c r="E159" s="31">
        <v>6.39</v>
      </c>
      <c r="F159" s="31">
        <v>5</v>
      </c>
      <c r="G159" s="31"/>
      <c r="H159" s="31"/>
      <c r="I159" s="31"/>
      <c r="J159" s="31"/>
      <c r="K159" s="31"/>
      <c r="L159" s="31"/>
      <c r="M159" s="31"/>
      <c r="N159" s="31">
        <v>9</v>
      </c>
      <c r="O159" s="31">
        <v>26.91</v>
      </c>
      <c r="P159" s="31">
        <v>2</v>
      </c>
      <c r="Q159" s="31">
        <v>15.35</v>
      </c>
      <c r="R159" s="31">
        <v>2</v>
      </c>
      <c r="S159" s="31"/>
      <c r="T159" s="51" t="str">
        <f t="shared" si="2"/>
        <v/>
      </c>
    </row>
    <row r="160" spans="1:20" ht="16.2" thickBot="1" x14ac:dyDescent="0.35">
      <c r="A160" s="36" t="s">
        <v>146</v>
      </c>
      <c r="B160" s="32">
        <v>690</v>
      </c>
      <c r="C160" s="32" t="s">
        <v>123</v>
      </c>
      <c r="D160" s="32">
        <v>15.52</v>
      </c>
      <c r="E160" s="32">
        <v>5</v>
      </c>
      <c r="F160" s="32">
        <v>5</v>
      </c>
      <c r="G160" s="32"/>
      <c r="H160" s="32"/>
      <c r="I160" s="32"/>
      <c r="J160" s="32"/>
      <c r="K160" s="32"/>
      <c r="L160" s="32"/>
      <c r="M160" s="32"/>
      <c r="N160" s="32">
        <v>9</v>
      </c>
      <c r="O160" s="32">
        <v>25.52</v>
      </c>
      <c r="P160" s="32">
        <v>1</v>
      </c>
      <c r="Q160" s="32">
        <v>25.24</v>
      </c>
      <c r="R160" s="32">
        <v>3</v>
      </c>
      <c r="S160" s="32">
        <v>74.760000000000005</v>
      </c>
      <c r="T160" s="50" t="str">
        <f t="shared" si="2"/>
        <v>Satisfactory</v>
      </c>
    </row>
    <row r="161" spans="1:20" ht="16.8" thickTop="1" thickBot="1" x14ac:dyDescent="0.35">
      <c r="A161" s="37" t="s">
        <v>147</v>
      </c>
      <c r="B161" s="38">
        <v>627</v>
      </c>
      <c r="C161" s="38">
        <v>9.08</v>
      </c>
      <c r="D161" s="38">
        <v>5.16</v>
      </c>
      <c r="E161" s="38">
        <v>3.92</v>
      </c>
      <c r="F161" s="38"/>
      <c r="G161" s="38"/>
      <c r="H161" s="38"/>
      <c r="I161" s="38"/>
      <c r="J161" s="38"/>
      <c r="K161" s="38"/>
      <c r="L161" s="38"/>
      <c r="M161" s="38"/>
      <c r="N161" s="38">
        <v>9.98</v>
      </c>
      <c r="O161" s="38" t="s">
        <v>123</v>
      </c>
      <c r="P161" s="38" t="s">
        <v>123</v>
      </c>
      <c r="Q161" s="38" t="s">
        <v>123</v>
      </c>
      <c r="R161" s="38" t="s">
        <v>123</v>
      </c>
      <c r="S161" s="38">
        <v>90.92</v>
      </c>
      <c r="T161" s="52" t="str">
        <f t="shared" si="2"/>
        <v>Good</v>
      </c>
    </row>
    <row r="162" spans="1:20" ht="16.2" thickTop="1" x14ac:dyDescent="0.3">
      <c r="A162" s="35" t="s">
        <v>148</v>
      </c>
      <c r="B162" s="34">
        <v>621</v>
      </c>
      <c r="C162" s="34" t="s">
        <v>123</v>
      </c>
      <c r="D162" s="34">
        <v>19.95</v>
      </c>
      <c r="E162" s="34">
        <v>6.95</v>
      </c>
      <c r="F162" s="34"/>
      <c r="G162" s="34"/>
      <c r="H162" s="34"/>
      <c r="I162" s="34"/>
      <c r="J162" s="34"/>
      <c r="K162" s="34"/>
      <c r="L162" s="34"/>
      <c r="M162" s="34"/>
      <c r="N162" s="34">
        <v>8.58</v>
      </c>
      <c r="O162" s="34">
        <v>26.9</v>
      </c>
      <c r="P162" s="34">
        <v>2</v>
      </c>
      <c r="Q162" s="34">
        <v>15.34</v>
      </c>
      <c r="R162" s="34">
        <v>1</v>
      </c>
      <c r="S162" s="34"/>
      <c r="T162" s="49" t="str">
        <f t="shared" si="2"/>
        <v/>
      </c>
    </row>
    <row r="163" spans="1:20" ht="16.2" thickBot="1" x14ac:dyDescent="0.35">
      <c r="A163" s="36" t="s">
        <v>148</v>
      </c>
      <c r="B163" s="32">
        <v>621</v>
      </c>
      <c r="C163" s="32" t="s">
        <v>123</v>
      </c>
      <c r="D163" s="32">
        <v>19.95</v>
      </c>
      <c r="E163" s="32">
        <v>5</v>
      </c>
      <c r="F163" s="32"/>
      <c r="G163" s="32"/>
      <c r="H163" s="32"/>
      <c r="I163" s="32"/>
      <c r="J163" s="32"/>
      <c r="K163" s="32"/>
      <c r="L163" s="32"/>
      <c r="M163" s="32"/>
      <c r="N163" s="32">
        <v>8.58</v>
      </c>
      <c r="O163" s="32">
        <v>24.95</v>
      </c>
      <c r="P163" s="32">
        <v>1</v>
      </c>
      <c r="Q163" s="32">
        <v>24.67</v>
      </c>
      <c r="R163" s="32">
        <v>2</v>
      </c>
      <c r="S163" s="32">
        <v>75.33</v>
      </c>
      <c r="T163" s="50" t="str">
        <f t="shared" si="2"/>
        <v>Satisfactory</v>
      </c>
    </row>
    <row r="164" spans="1:20" ht="16.8" thickTop="1" thickBot="1" x14ac:dyDescent="0.35">
      <c r="A164" s="37" t="s">
        <v>149</v>
      </c>
      <c r="B164" s="38">
        <v>690</v>
      </c>
      <c r="C164" s="38">
        <v>3.97</v>
      </c>
      <c r="D164" s="38">
        <v>3.97</v>
      </c>
      <c r="E164" s="38"/>
      <c r="F164" s="38"/>
      <c r="G164" s="38"/>
      <c r="H164" s="38"/>
      <c r="I164" s="38"/>
      <c r="J164" s="38"/>
      <c r="K164" s="38"/>
      <c r="L164" s="38"/>
      <c r="M164" s="38"/>
      <c r="N164" s="38">
        <v>10</v>
      </c>
      <c r="O164" s="38"/>
      <c r="P164" s="38"/>
      <c r="Q164" s="38"/>
      <c r="R164" s="38"/>
      <c r="S164" s="38">
        <v>96.03</v>
      </c>
      <c r="T164" s="52" t="str">
        <f t="shared" si="2"/>
        <v>Good</v>
      </c>
    </row>
    <row r="165" spans="1:20" ht="16.2" thickTop="1" x14ac:dyDescent="0.3">
      <c r="A165" s="35" t="s">
        <v>150</v>
      </c>
      <c r="B165" s="34">
        <v>627</v>
      </c>
      <c r="C165" s="34" t="s">
        <v>123</v>
      </c>
      <c r="D165" s="34">
        <v>9.4499999999999993</v>
      </c>
      <c r="E165" s="34">
        <v>6.9</v>
      </c>
      <c r="F165" s="34">
        <v>5.38</v>
      </c>
      <c r="G165" s="34">
        <v>4.9400000000000004</v>
      </c>
      <c r="H165" s="34"/>
      <c r="I165" s="34"/>
      <c r="J165" s="34"/>
      <c r="K165" s="34"/>
      <c r="L165" s="34"/>
      <c r="M165" s="34"/>
      <c r="N165" s="34">
        <v>9.58</v>
      </c>
      <c r="O165" s="34">
        <v>26.67</v>
      </c>
      <c r="P165" s="34">
        <v>3</v>
      </c>
      <c r="Q165" s="34">
        <v>11.26</v>
      </c>
      <c r="R165" s="34">
        <v>1</v>
      </c>
      <c r="S165" s="34"/>
      <c r="T165" s="49" t="str">
        <f t="shared" si="2"/>
        <v/>
      </c>
    </row>
    <row r="166" spans="1:20" x14ac:dyDescent="0.3">
      <c r="A166" s="33" t="s">
        <v>150</v>
      </c>
      <c r="B166" s="31">
        <v>627</v>
      </c>
      <c r="C166" s="31" t="s">
        <v>123</v>
      </c>
      <c r="D166" s="31">
        <v>9.4499999999999993</v>
      </c>
      <c r="E166" s="31">
        <v>6.9</v>
      </c>
      <c r="F166" s="31">
        <v>5</v>
      </c>
      <c r="G166" s="31">
        <v>4.9400000000000004</v>
      </c>
      <c r="H166" s="31"/>
      <c r="I166" s="31"/>
      <c r="J166" s="31"/>
      <c r="K166" s="31"/>
      <c r="L166" s="31"/>
      <c r="M166" s="31"/>
      <c r="N166" s="31">
        <v>9.58</v>
      </c>
      <c r="O166" s="31">
        <v>26.29</v>
      </c>
      <c r="P166" s="31">
        <v>2</v>
      </c>
      <c r="Q166" s="31">
        <v>14.86</v>
      </c>
      <c r="R166" s="31">
        <v>2</v>
      </c>
      <c r="S166" s="31"/>
      <c r="T166" s="51" t="str">
        <f t="shared" si="2"/>
        <v/>
      </c>
    </row>
    <row r="167" spans="1:20" ht="16.2" thickBot="1" x14ac:dyDescent="0.35">
      <c r="A167" s="36" t="s">
        <v>150</v>
      </c>
      <c r="B167" s="32">
        <v>627</v>
      </c>
      <c r="C167" s="32" t="s">
        <v>123</v>
      </c>
      <c r="D167" s="32">
        <v>9.4499999999999993</v>
      </c>
      <c r="E167" s="32">
        <v>5</v>
      </c>
      <c r="F167" s="32">
        <v>5</v>
      </c>
      <c r="G167" s="32">
        <v>4.9400000000000004</v>
      </c>
      <c r="H167" s="32"/>
      <c r="I167" s="32"/>
      <c r="J167" s="32"/>
      <c r="K167" s="32"/>
      <c r="L167" s="32"/>
      <c r="M167" s="32"/>
      <c r="N167" s="32">
        <v>9.58</v>
      </c>
      <c r="O167" s="32">
        <v>24.39</v>
      </c>
      <c r="P167" s="32">
        <v>1</v>
      </c>
      <c r="Q167" s="32">
        <v>24.11</v>
      </c>
      <c r="R167" s="32">
        <v>3</v>
      </c>
      <c r="S167" s="32">
        <v>75.89</v>
      </c>
      <c r="T167" s="50" t="str">
        <f t="shared" si="2"/>
        <v>Satisfactory</v>
      </c>
    </row>
    <row r="168" spans="1:20" ht="16.2" thickTop="1" x14ac:dyDescent="0.3">
      <c r="A168" s="35" t="s">
        <v>151</v>
      </c>
      <c r="B168" s="34">
        <v>621</v>
      </c>
      <c r="C168" s="34" t="s">
        <v>123</v>
      </c>
      <c r="D168" s="34">
        <v>11.83</v>
      </c>
      <c r="E168" s="34">
        <v>10.1</v>
      </c>
      <c r="F168" s="34">
        <v>6.65</v>
      </c>
      <c r="G168" s="34"/>
      <c r="H168" s="34"/>
      <c r="I168" s="34"/>
      <c r="J168" s="34"/>
      <c r="K168" s="34"/>
      <c r="L168" s="34"/>
      <c r="M168" s="34"/>
      <c r="N168" s="34">
        <v>9.35</v>
      </c>
      <c r="O168" s="34">
        <v>28.58</v>
      </c>
      <c r="P168" s="34">
        <v>3</v>
      </c>
      <c r="Q168" s="34">
        <v>12.78</v>
      </c>
      <c r="R168" s="34">
        <v>1</v>
      </c>
      <c r="S168" s="34"/>
      <c r="T168" s="49" t="str">
        <f t="shared" si="2"/>
        <v/>
      </c>
    </row>
    <row r="169" spans="1:20" x14ac:dyDescent="0.3">
      <c r="A169" s="33" t="s">
        <v>151</v>
      </c>
      <c r="B169" s="31">
        <v>621</v>
      </c>
      <c r="C169" s="31" t="s">
        <v>123</v>
      </c>
      <c r="D169" s="31">
        <v>11.83</v>
      </c>
      <c r="E169" s="31">
        <v>10.1</v>
      </c>
      <c r="F169" s="31">
        <v>5</v>
      </c>
      <c r="G169" s="31"/>
      <c r="H169" s="31"/>
      <c r="I169" s="31"/>
      <c r="J169" s="31"/>
      <c r="K169" s="31"/>
      <c r="L169" s="31"/>
      <c r="M169" s="31"/>
      <c r="N169" s="31">
        <v>9.35</v>
      </c>
      <c r="O169" s="31">
        <v>26.93</v>
      </c>
      <c r="P169" s="31">
        <v>2</v>
      </c>
      <c r="Q169" s="31">
        <v>15.37</v>
      </c>
      <c r="R169" s="31">
        <v>2</v>
      </c>
      <c r="S169" s="31"/>
      <c r="T169" s="51" t="str">
        <f t="shared" si="2"/>
        <v/>
      </c>
    </row>
    <row r="170" spans="1:20" ht="16.2" thickBot="1" x14ac:dyDescent="0.35">
      <c r="A170" s="36" t="s">
        <v>151</v>
      </c>
      <c r="B170" s="32">
        <v>621</v>
      </c>
      <c r="C170" s="32" t="s">
        <v>123</v>
      </c>
      <c r="D170" s="32">
        <v>11.83</v>
      </c>
      <c r="E170" s="32">
        <v>5</v>
      </c>
      <c r="F170" s="32">
        <v>5</v>
      </c>
      <c r="G170" s="32"/>
      <c r="H170" s="32"/>
      <c r="I170" s="32"/>
      <c r="J170" s="32"/>
      <c r="K170" s="32"/>
      <c r="L170" s="32"/>
      <c r="M170" s="32"/>
      <c r="N170" s="32">
        <v>9.35</v>
      </c>
      <c r="O170" s="32">
        <v>21.83</v>
      </c>
      <c r="P170" s="32">
        <v>1</v>
      </c>
      <c r="Q170" s="32">
        <v>21.56</v>
      </c>
      <c r="R170" s="32">
        <v>3</v>
      </c>
      <c r="S170" s="32">
        <v>78.44</v>
      </c>
      <c r="T170" s="50" t="str">
        <f t="shared" si="2"/>
        <v>Satisfactory</v>
      </c>
    </row>
    <row r="171" spans="1:20" ht="16.8" thickTop="1" thickBot="1" x14ac:dyDescent="0.35">
      <c r="A171" s="37" t="s">
        <v>152</v>
      </c>
      <c r="B171" s="38">
        <v>690</v>
      </c>
      <c r="C171" s="38">
        <v>7.7700000000000005</v>
      </c>
      <c r="D171" s="38">
        <v>4.34</v>
      </c>
      <c r="E171" s="38">
        <v>1.73</v>
      </c>
      <c r="F171" s="38">
        <v>1.7</v>
      </c>
      <c r="G171" s="38"/>
      <c r="H171" s="38"/>
      <c r="I171" s="38"/>
      <c r="J171" s="38"/>
      <c r="K171" s="38"/>
      <c r="L171" s="38"/>
      <c r="M171" s="38"/>
      <c r="N171" s="38">
        <v>10</v>
      </c>
      <c r="O171" s="38"/>
      <c r="P171" s="38"/>
      <c r="Q171" s="38"/>
      <c r="R171" s="38"/>
      <c r="S171" s="38">
        <v>92.23</v>
      </c>
      <c r="T171" s="52" t="str">
        <f t="shared" si="2"/>
        <v>Good</v>
      </c>
    </row>
    <row r="172" spans="1:20" ht="16.8" thickTop="1" thickBot="1" x14ac:dyDescent="0.35">
      <c r="A172" s="37" t="s">
        <v>153</v>
      </c>
      <c r="B172" s="38">
        <v>627</v>
      </c>
      <c r="C172" s="38">
        <v>31.37</v>
      </c>
      <c r="D172" s="38">
        <v>18.170000000000002</v>
      </c>
      <c r="E172" s="38">
        <v>4.99</v>
      </c>
      <c r="F172" s="38">
        <v>4.62</v>
      </c>
      <c r="G172" s="38">
        <v>3.59</v>
      </c>
      <c r="H172" s="38"/>
      <c r="I172" s="38"/>
      <c r="J172" s="38"/>
      <c r="K172" s="38"/>
      <c r="L172" s="38"/>
      <c r="M172" s="38"/>
      <c r="N172" s="38">
        <v>8.75</v>
      </c>
      <c r="O172" s="38" t="s">
        <v>123</v>
      </c>
      <c r="P172" s="38" t="s">
        <v>123</v>
      </c>
      <c r="Q172" s="38" t="s">
        <v>123</v>
      </c>
      <c r="R172" s="38" t="s">
        <v>123</v>
      </c>
      <c r="S172" s="38">
        <v>68.63</v>
      </c>
      <c r="T172" s="52" t="str">
        <f t="shared" si="2"/>
        <v>Fair</v>
      </c>
    </row>
    <row r="173" spans="1:20" ht="16.2" thickTop="1" x14ac:dyDescent="0.3">
      <c r="A173" s="35" t="s">
        <v>154</v>
      </c>
      <c r="B173" s="34">
        <v>621</v>
      </c>
      <c r="C173" s="34" t="s">
        <v>123</v>
      </c>
      <c r="D173" s="34">
        <v>11.46</v>
      </c>
      <c r="E173" s="34">
        <v>10.51</v>
      </c>
      <c r="F173" s="34">
        <v>7.6</v>
      </c>
      <c r="G173" s="34">
        <v>4.58</v>
      </c>
      <c r="H173" s="34"/>
      <c r="I173" s="34"/>
      <c r="J173" s="34"/>
      <c r="K173" s="34"/>
      <c r="L173" s="34"/>
      <c r="M173" s="34"/>
      <c r="N173" s="34">
        <v>9.39</v>
      </c>
      <c r="O173" s="34">
        <v>34.15</v>
      </c>
      <c r="P173" s="34">
        <v>3</v>
      </c>
      <c r="Q173" s="34">
        <v>17.149999999999999</v>
      </c>
      <c r="R173" s="34">
        <v>1</v>
      </c>
      <c r="S173" s="34"/>
      <c r="T173" s="49" t="str">
        <f t="shared" si="2"/>
        <v/>
      </c>
    </row>
    <row r="174" spans="1:20" x14ac:dyDescent="0.3">
      <c r="A174" s="33" t="s">
        <v>154</v>
      </c>
      <c r="B174" s="31">
        <v>621</v>
      </c>
      <c r="C174" s="31" t="s">
        <v>123</v>
      </c>
      <c r="D174" s="31">
        <v>11.46</v>
      </c>
      <c r="E174" s="31">
        <v>10.51</v>
      </c>
      <c r="F174" s="31">
        <v>5</v>
      </c>
      <c r="G174" s="31">
        <v>4.58</v>
      </c>
      <c r="H174" s="31"/>
      <c r="I174" s="31"/>
      <c r="J174" s="31"/>
      <c r="K174" s="31"/>
      <c r="L174" s="31"/>
      <c r="M174" s="31"/>
      <c r="N174" s="31">
        <v>9.39</v>
      </c>
      <c r="O174" s="31">
        <v>31.55</v>
      </c>
      <c r="P174" s="31">
        <v>2</v>
      </c>
      <c r="Q174" s="31">
        <v>19.02</v>
      </c>
      <c r="R174" s="31">
        <v>2</v>
      </c>
      <c r="S174" s="31"/>
      <c r="T174" s="51" t="str">
        <f t="shared" si="2"/>
        <v/>
      </c>
    </row>
    <row r="175" spans="1:20" ht="16.2" thickBot="1" x14ac:dyDescent="0.35">
      <c r="A175" s="36" t="s">
        <v>154</v>
      </c>
      <c r="B175" s="32">
        <v>621</v>
      </c>
      <c r="C175" s="32" t="s">
        <v>123</v>
      </c>
      <c r="D175" s="32">
        <v>11.46</v>
      </c>
      <c r="E175" s="32">
        <v>5</v>
      </c>
      <c r="F175" s="32">
        <v>5</v>
      </c>
      <c r="G175" s="32">
        <v>4.58</v>
      </c>
      <c r="H175" s="32"/>
      <c r="I175" s="32"/>
      <c r="J175" s="32"/>
      <c r="K175" s="32"/>
      <c r="L175" s="32"/>
      <c r="M175" s="32"/>
      <c r="N175" s="32">
        <v>9.39</v>
      </c>
      <c r="O175" s="32">
        <v>26.04</v>
      </c>
      <c r="P175" s="32">
        <v>1</v>
      </c>
      <c r="Q175" s="32">
        <v>25.76</v>
      </c>
      <c r="R175" s="32">
        <v>3</v>
      </c>
      <c r="S175" s="32">
        <v>74.239999999999995</v>
      </c>
      <c r="T175" s="50" t="str">
        <f t="shared" si="2"/>
        <v>Satisfactory</v>
      </c>
    </row>
    <row r="176" spans="1:20" ht="16.2" thickTop="1" x14ac:dyDescent="0.3">
      <c r="A176" s="35" t="s">
        <v>155</v>
      </c>
      <c r="B176" s="34">
        <v>715</v>
      </c>
      <c r="C176" s="34" t="s">
        <v>123</v>
      </c>
      <c r="D176" s="34">
        <v>8</v>
      </c>
      <c r="E176" s="34">
        <v>5.0599999999999996</v>
      </c>
      <c r="F176" s="34">
        <v>1.9</v>
      </c>
      <c r="G176" s="34"/>
      <c r="H176" s="34"/>
      <c r="I176" s="34"/>
      <c r="J176" s="34"/>
      <c r="K176" s="34"/>
      <c r="L176" s="34"/>
      <c r="M176" s="34"/>
      <c r="N176" s="34">
        <v>9.7200000000000006</v>
      </c>
      <c r="O176" s="34">
        <v>14.96</v>
      </c>
      <c r="P176" s="34">
        <v>2</v>
      </c>
      <c r="Q176" s="34">
        <v>5.68</v>
      </c>
      <c r="R176" s="34">
        <v>1</v>
      </c>
      <c r="S176" s="34"/>
      <c r="T176" s="49" t="str">
        <f t="shared" si="2"/>
        <v/>
      </c>
    </row>
    <row r="177" spans="1:20" ht="16.2" thickBot="1" x14ac:dyDescent="0.35">
      <c r="A177" s="36" t="s">
        <v>155</v>
      </c>
      <c r="B177" s="32">
        <v>715</v>
      </c>
      <c r="C177" s="32" t="s">
        <v>123</v>
      </c>
      <c r="D177" s="32">
        <v>8</v>
      </c>
      <c r="E177" s="32">
        <v>5</v>
      </c>
      <c r="F177" s="32">
        <v>1.9</v>
      </c>
      <c r="G177" s="32"/>
      <c r="H177" s="32"/>
      <c r="I177" s="32"/>
      <c r="J177" s="32"/>
      <c r="K177" s="32"/>
      <c r="L177" s="32"/>
      <c r="M177" s="32"/>
      <c r="N177" s="32">
        <v>9.7200000000000006</v>
      </c>
      <c r="O177" s="32">
        <v>14.9</v>
      </c>
      <c r="P177" s="32">
        <v>1</v>
      </c>
      <c r="Q177" s="32">
        <v>14.66</v>
      </c>
      <c r="R177" s="32">
        <v>2</v>
      </c>
      <c r="S177" s="32">
        <v>85.34</v>
      </c>
      <c r="T177" s="50" t="str">
        <f t="shared" si="2"/>
        <v>Good</v>
      </c>
    </row>
    <row r="178" spans="1:20" ht="16.2" thickTop="1" x14ac:dyDescent="0.3">
      <c r="A178" s="35" t="s">
        <v>156</v>
      </c>
      <c r="B178" s="34">
        <v>627</v>
      </c>
      <c r="C178" s="34" t="s">
        <v>123</v>
      </c>
      <c r="D178" s="34">
        <v>15.84</v>
      </c>
      <c r="E178" s="34">
        <v>8.7899999999999991</v>
      </c>
      <c r="F178" s="34">
        <v>8.07</v>
      </c>
      <c r="G178" s="34">
        <v>7.49</v>
      </c>
      <c r="H178" s="34">
        <v>5.59</v>
      </c>
      <c r="I178" s="34">
        <v>5.53</v>
      </c>
      <c r="J178" s="34"/>
      <c r="K178" s="34"/>
      <c r="L178" s="34"/>
      <c r="M178" s="34"/>
      <c r="N178" s="34">
        <v>8.9700000000000006</v>
      </c>
      <c r="O178" s="34">
        <v>51.31</v>
      </c>
      <c r="P178" s="34">
        <v>6</v>
      </c>
      <c r="Q178" s="34">
        <v>23.4</v>
      </c>
      <c r="R178" s="34">
        <v>1</v>
      </c>
      <c r="S178" s="34"/>
      <c r="T178" s="49" t="str">
        <f t="shared" si="2"/>
        <v/>
      </c>
    </row>
    <row r="179" spans="1:20" x14ac:dyDescent="0.3">
      <c r="A179" s="33" t="s">
        <v>156</v>
      </c>
      <c r="B179" s="31">
        <v>627</v>
      </c>
      <c r="C179" s="31" t="s">
        <v>123</v>
      </c>
      <c r="D179" s="31">
        <v>15.84</v>
      </c>
      <c r="E179" s="31">
        <v>8.7899999999999991</v>
      </c>
      <c r="F179" s="31">
        <v>8.07</v>
      </c>
      <c r="G179" s="31">
        <v>7.49</v>
      </c>
      <c r="H179" s="31">
        <v>5.59</v>
      </c>
      <c r="I179" s="31">
        <v>5</v>
      </c>
      <c r="J179" s="31"/>
      <c r="K179" s="31"/>
      <c r="L179" s="31"/>
      <c r="M179" s="31"/>
      <c r="N179" s="31">
        <v>8.9700000000000006</v>
      </c>
      <c r="O179" s="31">
        <v>50.78</v>
      </c>
      <c r="P179" s="31">
        <v>5</v>
      </c>
      <c r="Q179" s="31">
        <v>22.96</v>
      </c>
      <c r="R179" s="31">
        <v>2</v>
      </c>
      <c r="S179" s="31"/>
      <c r="T179" s="51" t="str">
        <f t="shared" si="2"/>
        <v/>
      </c>
    </row>
    <row r="180" spans="1:20" x14ac:dyDescent="0.3">
      <c r="A180" s="33" t="s">
        <v>156</v>
      </c>
      <c r="B180" s="31">
        <v>627</v>
      </c>
      <c r="C180" s="31" t="s">
        <v>123</v>
      </c>
      <c r="D180" s="31">
        <v>15.84</v>
      </c>
      <c r="E180" s="31">
        <v>8.7899999999999991</v>
      </c>
      <c r="F180" s="31">
        <v>8.07</v>
      </c>
      <c r="G180" s="31">
        <v>7.49</v>
      </c>
      <c r="H180" s="31">
        <v>5</v>
      </c>
      <c r="I180" s="31">
        <v>5</v>
      </c>
      <c r="J180" s="31"/>
      <c r="K180" s="31"/>
      <c r="L180" s="31"/>
      <c r="M180" s="31"/>
      <c r="N180" s="31">
        <v>8.9700000000000006</v>
      </c>
      <c r="O180" s="31">
        <v>50.19</v>
      </c>
      <c r="P180" s="31">
        <v>4</v>
      </c>
      <c r="Q180" s="31">
        <v>22.49</v>
      </c>
      <c r="R180" s="31">
        <v>3</v>
      </c>
      <c r="S180" s="31"/>
      <c r="T180" s="51" t="str">
        <f t="shared" si="2"/>
        <v/>
      </c>
    </row>
    <row r="181" spans="1:20" x14ac:dyDescent="0.3">
      <c r="A181" s="33" t="s">
        <v>156</v>
      </c>
      <c r="B181" s="31">
        <v>627</v>
      </c>
      <c r="C181" s="31" t="s">
        <v>123</v>
      </c>
      <c r="D181" s="31">
        <v>15.84</v>
      </c>
      <c r="E181" s="31">
        <v>8.7899999999999991</v>
      </c>
      <c r="F181" s="31">
        <v>8.07</v>
      </c>
      <c r="G181" s="31">
        <v>5</v>
      </c>
      <c r="H181" s="31">
        <v>5</v>
      </c>
      <c r="I181" s="31">
        <v>5</v>
      </c>
      <c r="J181" s="31"/>
      <c r="K181" s="31"/>
      <c r="L181" s="31"/>
      <c r="M181" s="31"/>
      <c r="N181" s="31">
        <v>8.9700000000000006</v>
      </c>
      <c r="O181" s="31">
        <v>47.7</v>
      </c>
      <c r="P181" s="31">
        <v>3</v>
      </c>
      <c r="Q181" s="31">
        <v>27.39</v>
      </c>
      <c r="R181" s="31">
        <v>4</v>
      </c>
      <c r="S181" s="31"/>
      <c r="T181" s="51" t="str">
        <f t="shared" si="2"/>
        <v/>
      </c>
    </row>
    <row r="182" spans="1:20" x14ac:dyDescent="0.3">
      <c r="A182" s="33" t="s">
        <v>156</v>
      </c>
      <c r="B182" s="31">
        <v>627</v>
      </c>
      <c r="C182" s="31" t="s">
        <v>123</v>
      </c>
      <c r="D182" s="31">
        <v>15.84</v>
      </c>
      <c r="E182" s="31">
        <v>8.7899999999999991</v>
      </c>
      <c r="F182" s="31">
        <v>5</v>
      </c>
      <c r="G182" s="31">
        <v>5</v>
      </c>
      <c r="H182" s="31">
        <v>5</v>
      </c>
      <c r="I182" s="31">
        <v>5</v>
      </c>
      <c r="J182" s="31"/>
      <c r="K182" s="31"/>
      <c r="L182" s="31"/>
      <c r="M182" s="31"/>
      <c r="N182" s="31">
        <v>8.9700000000000006</v>
      </c>
      <c r="O182" s="31">
        <v>44.63</v>
      </c>
      <c r="P182" s="31">
        <v>2</v>
      </c>
      <c r="Q182" s="31">
        <v>29.11</v>
      </c>
      <c r="R182" s="31">
        <v>5</v>
      </c>
      <c r="S182" s="31"/>
      <c r="T182" s="51" t="str">
        <f t="shared" si="2"/>
        <v/>
      </c>
    </row>
    <row r="183" spans="1:20" ht="16.2" thickBot="1" x14ac:dyDescent="0.35">
      <c r="A183" s="36" t="s">
        <v>156</v>
      </c>
      <c r="B183" s="32">
        <v>627</v>
      </c>
      <c r="C183" s="32" t="s">
        <v>123</v>
      </c>
      <c r="D183" s="32">
        <v>15.84</v>
      </c>
      <c r="E183" s="32">
        <v>5</v>
      </c>
      <c r="F183" s="32">
        <v>5</v>
      </c>
      <c r="G183" s="32">
        <v>5</v>
      </c>
      <c r="H183" s="32">
        <v>5</v>
      </c>
      <c r="I183" s="32">
        <v>5</v>
      </c>
      <c r="J183" s="32"/>
      <c r="K183" s="32"/>
      <c r="L183" s="32"/>
      <c r="M183" s="32"/>
      <c r="N183" s="32">
        <v>8.9700000000000006</v>
      </c>
      <c r="O183" s="32">
        <v>40.840000000000003</v>
      </c>
      <c r="P183" s="32">
        <v>1</v>
      </c>
      <c r="Q183" s="32">
        <v>40.549999999999997</v>
      </c>
      <c r="R183" s="32">
        <v>6</v>
      </c>
      <c r="S183" s="32">
        <v>59.45</v>
      </c>
      <c r="T183" s="50" t="str">
        <f t="shared" si="2"/>
        <v>Fair</v>
      </c>
    </row>
    <row r="184" spans="1:20" ht="16.2" thickTop="1" x14ac:dyDescent="0.3">
      <c r="A184" s="35" t="s">
        <v>157</v>
      </c>
      <c r="B184" s="34">
        <v>715</v>
      </c>
      <c r="C184" s="34" t="s">
        <v>123</v>
      </c>
      <c r="D184" s="34">
        <v>7.84</v>
      </c>
      <c r="E184" s="34">
        <v>7.18</v>
      </c>
      <c r="F184" s="34">
        <v>6.83</v>
      </c>
      <c r="G184" s="34">
        <v>6.76</v>
      </c>
      <c r="H184" s="34">
        <v>1.56</v>
      </c>
      <c r="I184" s="34"/>
      <c r="J184" s="34"/>
      <c r="K184" s="34"/>
      <c r="L184" s="34"/>
      <c r="M184" s="34"/>
      <c r="N184" s="34">
        <v>9.73</v>
      </c>
      <c r="O184" s="34">
        <v>30.17</v>
      </c>
      <c r="P184" s="34">
        <v>4</v>
      </c>
      <c r="Q184" s="34">
        <v>8.5500000000000007</v>
      </c>
      <c r="R184" s="34">
        <v>1</v>
      </c>
      <c r="S184" s="34"/>
      <c r="T184" s="49" t="str">
        <f t="shared" si="2"/>
        <v/>
      </c>
    </row>
    <row r="185" spans="1:20" x14ac:dyDescent="0.3">
      <c r="A185" s="33" t="s">
        <v>157</v>
      </c>
      <c r="B185" s="31">
        <v>715</v>
      </c>
      <c r="C185" s="31" t="s">
        <v>123</v>
      </c>
      <c r="D185" s="31">
        <v>7.84</v>
      </c>
      <c r="E185" s="31">
        <v>7.18</v>
      </c>
      <c r="F185" s="31">
        <v>6.83</v>
      </c>
      <c r="G185" s="31">
        <v>5</v>
      </c>
      <c r="H185" s="31">
        <v>1.56</v>
      </c>
      <c r="I185" s="31"/>
      <c r="J185" s="31"/>
      <c r="K185" s="31"/>
      <c r="L185" s="31"/>
      <c r="M185" s="31"/>
      <c r="N185" s="31">
        <v>9.73</v>
      </c>
      <c r="O185" s="31">
        <v>28.41</v>
      </c>
      <c r="P185" s="31">
        <v>3</v>
      </c>
      <c r="Q185" s="31">
        <v>12.65</v>
      </c>
      <c r="R185" s="31">
        <v>2</v>
      </c>
      <c r="S185" s="31"/>
      <c r="T185" s="51" t="str">
        <f t="shared" si="2"/>
        <v/>
      </c>
    </row>
    <row r="186" spans="1:20" x14ac:dyDescent="0.3">
      <c r="A186" s="33" t="s">
        <v>157</v>
      </c>
      <c r="B186" s="31">
        <v>715</v>
      </c>
      <c r="C186" s="31" t="s">
        <v>123</v>
      </c>
      <c r="D186" s="31">
        <v>7.84</v>
      </c>
      <c r="E186" s="31">
        <v>7.18</v>
      </c>
      <c r="F186" s="31">
        <v>5</v>
      </c>
      <c r="G186" s="31">
        <v>5</v>
      </c>
      <c r="H186" s="31">
        <v>1.56</v>
      </c>
      <c r="I186" s="31"/>
      <c r="J186" s="31"/>
      <c r="K186" s="31"/>
      <c r="L186" s="31"/>
      <c r="M186" s="31"/>
      <c r="N186" s="31">
        <v>9.73</v>
      </c>
      <c r="O186" s="31">
        <v>26.58</v>
      </c>
      <c r="P186" s="31">
        <v>2</v>
      </c>
      <c r="Q186" s="31">
        <v>15.09</v>
      </c>
      <c r="R186" s="31">
        <v>3</v>
      </c>
      <c r="S186" s="31"/>
      <c r="T186" s="51" t="str">
        <f t="shared" si="2"/>
        <v/>
      </c>
    </row>
    <row r="187" spans="1:20" ht="16.2" thickBot="1" x14ac:dyDescent="0.35">
      <c r="A187" s="36" t="s">
        <v>157</v>
      </c>
      <c r="B187" s="32">
        <v>715</v>
      </c>
      <c r="C187" s="32" t="s">
        <v>123</v>
      </c>
      <c r="D187" s="32">
        <v>7.84</v>
      </c>
      <c r="E187" s="32">
        <v>5</v>
      </c>
      <c r="F187" s="32">
        <v>5</v>
      </c>
      <c r="G187" s="32">
        <v>5</v>
      </c>
      <c r="H187" s="32">
        <v>1.56</v>
      </c>
      <c r="I187" s="32"/>
      <c r="J187" s="32"/>
      <c r="K187" s="32"/>
      <c r="L187" s="32"/>
      <c r="M187" s="32"/>
      <c r="N187" s="32">
        <v>9.73</v>
      </c>
      <c r="O187" s="32">
        <v>24.4</v>
      </c>
      <c r="P187" s="32">
        <v>1</v>
      </c>
      <c r="Q187" s="32">
        <v>24.12</v>
      </c>
      <c r="R187" s="32">
        <v>4</v>
      </c>
      <c r="S187" s="32">
        <v>75.88</v>
      </c>
      <c r="T187" s="50" t="str">
        <f t="shared" si="2"/>
        <v>Satisfactory</v>
      </c>
    </row>
    <row r="188" spans="1:20" ht="16.8" thickTop="1" thickBot="1" x14ac:dyDescent="0.35">
      <c r="A188" s="37" t="s">
        <v>165</v>
      </c>
      <c r="B188" s="38">
        <v>695</v>
      </c>
      <c r="C188" s="38">
        <v>11.88</v>
      </c>
      <c r="D188" s="38">
        <v>4.75</v>
      </c>
      <c r="E188" s="38">
        <v>3.73</v>
      </c>
      <c r="F188" s="38">
        <v>3.4</v>
      </c>
      <c r="G188" s="38"/>
      <c r="H188" s="38"/>
      <c r="I188" s="38"/>
      <c r="J188" s="38"/>
      <c r="K188" s="38"/>
      <c r="L188" s="38"/>
      <c r="M188" s="38"/>
      <c r="N188" s="38">
        <v>10</v>
      </c>
      <c r="O188" s="38"/>
      <c r="P188" s="38"/>
      <c r="Q188" s="38"/>
      <c r="R188" s="38"/>
      <c r="S188" s="38">
        <v>88.12</v>
      </c>
      <c r="T188" s="52" t="str">
        <f t="shared" si="2"/>
        <v>Good</v>
      </c>
    </row>
    <row r="189" spans="1:20" ht="16.2" thickTop="1" x14ac:dyDescent="0.3">
      <c r="A189" s="35" t="s">
        <v>158</v>
      </c>
      <c r="B189" s="34">
        <v>658</v>
      </c>
      <c r="C189" s="34" t="s">
        <v>123</v>
      </c>
      <c r="D189" s="34">
        <v>11.28</v>
      </c>
      <c r="E189" s="34">
        <v>10.199999999999999</v>
      </c>
      <c r="F189" s="34">
        <v>8.86</v>
      </c>
      <c r="G189" s="34">
        <v>5.93</v>
      </c>
      <c r="H189" s="34">
        <v>2.08</v>
      </c>
      <c r="I189" s="34"/>
      <c r="J189" s="34"/>
      <c r="K189" s="34"/>
      <c r="L189" s="34"/>
      <c r="M189" s="34"/>
      <c r="N189" s="34">
        <v>9.41</v>
      </c>
      <c r="O189" s="34">
        <v>38.35</v>
      </c>
      <c r="P189" s="34">
        <v>4</v>
      </c>
      <c r="Q189" s="34">
        <v>14.38</v>
      </c>
      <c r="R189" s="34">
        <v>1</v>
      </c>
      <c r="S189" s="34"/>
      <c r="T189" s="49" t="str">
        <f t="shared" si="2"/>
        <v/>
      </c>
    </row>
    <row r="190" spans="1:20" x14ac:dyDescent="0.3">
      <c r="A190" s="33" t="s">
        <v>158</v>
      </c>
      <c r="B190" s="31">
        <v>658</v>
      </c>
      <c r="C190" s="31" t="s">
        <v>123</v>
      </c>
      <c r="D190" s="31">
        <v>11.28</v>
      </c>
      <c r="E190" s="31">
        <v>10.199999999999999</v>
      </c>
      <c r="F190" s="31">
        <v>8.86</v>
      </c>
      <c r="G190" s="31">
        <v>5</v>
      </c>
      <c r="H190" s="31">
        <v>2.08</v>
      </c>
      <c r="I190" s="31"/>
      <c r="J190" s="31"/>
      <c r="K190" s="31"/>
      <c r="L190" s="31"/>
      <c r="M190" s="31"/>
      <c r="N190" s="31">
        <v>9.41</v>
      </c>
      <c r="O190" s="31">
        <v>37.42</v>
      </c>
      <c r="P190" s="31">
        <v>3</v>
      </c>
      <c r="Q190" s="31">
        <v>19.670000000000002</v>
      </c>
      <c r="R190" s="31">
        <v>2</v>
      </c>
      <c r="S190" s="31"/>
      <c r="T190" s="51" t="str">
        <f t="shared" si="2"/>
        <v/>
      </c>
    </row>
    <row r="191" spans="1:20" x14ac:dyDescent="0.3">
      <c r="A191" s="33" t="s">
        <v>158</v>
      </c>
      <c r="B191" s="31">
        <v>658</v>
      </c>
      <c r="C191" s="31" t="s">
        <v>123</v>
      </c>
      <c r="D191" s="31">
        <v>11.28</v>
      </c>
      <c r="E191" s="31">
        <v>10.199999999999999</v>
      </c>
      <c r="F191" s="31">
        <v>5</v>
      </c>
      <c r="G191" s="31">
        <v>5</v>
      </c>
      <c r="H191" s="31">
        <v>2.08</v>
      </c>
      <c r="I191" s="31"/>
      <c r="J191" s="31"/>
      <c r="K191" s="31"/>
      <c r="L191" s="31"/>
      <c r="M191" s="31"/>
      <c r="N191" s="31">
        <v>9.41</v>
      </c>
      <c r="O191" s="31">
        <v>33.56</v>
      </c>
      <c r="P191" s="31">
        <v>2</v>
      </c>
      <c r="Q191" s="31">
        <v>20.6</v>
      </c>
      <c r="R191" s="31">
        <v>3</v>
      </c>
      <c r="S191" s="31"/>
      <c r="T191" s="51" t="str">
        <f t="shared" ref="T191:T254" si="3">IF(S191="","",IF(AND(S191&lt;=100,S191&gt;85),"Good",IF(AND(S191&lt;=85,S191&gt;70),"Satisfactory",IF(AND(S191&lt;=70,S191&gt;55),"Fair",IF(AND(S191&lt;=55,S191&gt;40),"Poor",IF(AND(S191&lt;=40,S191&gt;25),"Very Poor",IF(AND(S191&lt;=25,S191&gt;10),"Serious",IF(AND(S191&lt;=10,S191&gt;=0),"Failed",""))))))))</f>
        <v/>
      </c>
    </row>
    <row r="192" spans="1:20" ht="16.2" thickBot="1" x14ac:dyDescent="0.35">
      <c r="A192" s="36" t="s">
        <v>158</v>
      </c>
      <c r="B192" s="32">
        <v>658</v>
      </c>
      <c r="C192" s="32" t="s">
        <v>123</v>
      </c>
      <c r="D192" s="32">
        <v>11.28</v>
      </c>
      <c r="E192" s="32">
        <v>5</v>
      </c>
      <c r="F192" s="32">
        <v>5</v>
      </c>
      <c r="G192" s="32">
        <v>5</v>
      </c>
      <c r="H192" s="32">
        <v>2.08</v>
      </c>
      <c r="I192" s="32"/>
      <c r="J192" s="32"/>
      <c r="K192" s="32"/>
      <c r="L192" s="32"/>
      <c r="M192" s="32"/>
      <c r="N192" s="32">
        <v>9.41</v>
      </c>
      <c r="O192" s="32">
        <v>28.36</v>
      </c>
      <c r="P192" s="32">
        <v>1</v>
      </c>
      <c r="Q192" s="32">
        <v>28.08</v>
      </c>
      <c r="R192" s="32">
        <v>4</v>
      </c>
      <c r="S192" s="32">
        <v>71.92</v>
      </c>
      <c r="T192" s="50" t="str">
        <f t="shared" si="3"/>
        <v>Satisfactory</v>
      </c>
    </row>
    <row r="193" spans="1:20" ht="16.2" thickTop="1" x14ac:dyDescent="0.3">
      <c r="A193" s="35" t="s">
        <v>159</v>
      </c>
      <c r="B193" s="34">
        <v>656</v>
      </c>
      <c r="C193" s="34" t="s">
        <v>123</v>
      </c>
      <c r="D193" s="34">
        <v>6.92</v>
      </c>
      <c r="E193" s="34">
        <v>5.32</v>
      </c>
      <c r="F193" s="34">
        <v>2.78</v>
      </c>
      <c r="G193" s="34">
        <v>2</v>
      </c>
      <c r="H193" s="34">
        <v>1.65</v>
      </c>
      <c r="I193" s="34"/>
      <c r="J193" s="34"/>
      <c r="K193" s="34"/>
      <c r="L193" s="34"/>
      <c r="M193" s="34"/>
      <c r="N193" s="34">
        <v>9.82</v>
      </c>
      <c r="O193" s="34">
        <v>18.670000000000002</v>
      </c>
      <c r="P193" s="34">
        <v>2</v>
      </c>
      <c r="Q193" s="34">
        <v>8.7200000000000006</v>
      </c>
      <c r="R193" s="34">
        <v>1</v>
      </c>
      <c r="S193" s="34"/>
      <c r="T193" s="49" t="str">
        <f t="shared" si="3"/>
        <v/>
      </c>
    </row>
    <row r="194" spans="1:20" ht="16.2" thickBot="1" x14ac:dyDescent="0.35">
      <c r="A194" s="36" t="s">
        <v>159</v>
      </c>
      <c r="B194" s="32">
        <v>656</v>
      </c>
      <c r="C194" s="32" t="s">
        <v>123</v>
      </c>
      <c r="D194" s="32">
        <v>6.92</v>
      </c>
      <c r="E194" s="32">
        <v>5</v>
      </c>
      <c r="F194" s="32">
        <v>2.78</v>
      </c>
      <c r="G194" s="32">
        <v>2</v>
      </c>
      <c r="H194" s="32">
        <v>1.65</v>
      </c>
      <c r="I194" s="32"/>
      <c r="J194" s="32"/>
      <c r="K194" s="32"/>
      <c r="L194" s="32"/>
      <c r="M194" s="32"/>
      <c r="N194" s="32">
        <v>9.82</v>
      </c>
      <c r="O194" s="32">
        <v>18.350000000000001</v>
      </c>
      <c r="P194" s="32">
        <v>1</v>
      </c>
      <c r="Q194" s="32">
        <v>18.09</v>
      </c>
      <c r="R194" s="32">
        <v>2</v>
      </c>
      <c r="S194" s="32">
        <v>81.91</v>
      </c>
      <c r="T194" s="50" t="str">
        <f t="shared" si="3"/>
        <v>Satisfactory</v>
      </c>
    </row>
    <row r="195" spans="1:20" ht="16.8" thickTop="1" thickBot="1" x14ac:dyDescent="0.35">
      <c r="A195" s="37" t="s">
        <v>160</v>
      </c>
      <c r="B195" s="38">
        <v>656</v>
      </c>
      <c r="C195" s="38">
        <v>8.36</v>
      </c>
      <c r="D195" s="38">
        <v>4.9400000000000004</v>
      </c>
      <c r="E195" s="38">
        <v>3.42</v>
      </c>
      <c r="F195" s="38"/>
      <c r="G195" s="38"/>
      <c r="H195" s="38"/>
      <c r="I195" s="38"/>
      <c r="J195" s="38"/>
      <c r="K195" s="38"/>
      <c r="L195" s="38"/>
      <c r="M195" s="38"/>
      <c r="N195" s="38">
        <v>10</v>
      </c>
      <c r="O195" s="38"/>
      <c r="P195" s="38"/>
      <c r="Q195" s="38"/>
      <c r="R195" s="38"/>
      <c r="S195" s="38">
        <v>91.64</v>
      </c>
      <c r="T195" s="52" t="str">
        <f t="shared" si="3"/>
        <v>Good</v>
      </c>
    </row>
    <row r="196" spans="1:20" ht="16.2" thickTop="1" x14ac:dyDescent="0.3">
      <c r="A196" s="35" t="s">
        <v>161</v>
      </c>
      <c r="B196" s="34">
        <v>656</v>
      </c>
      <c r="C196" s="34" t="s">
        <v>123</v>
      </c>
      <c r="D196" s="34">
        <v>5.5</v>
      </c>
      <c r="E196" s="34">
        <v>5.38</v>
      </c>
      <c r="F196" s="34">
        <v>4.9400000000000004</v>
      </c>
      <c r="G196" s="34"/>
      <c r="H196" s="34"/>
      <c r="I196" s="34"/>
      <c r="J196" s="34"/>
      <c r="K196" s="34"/>
      <c r="L196" s="34"/>
      <c r="M196" s="34"/>
      <c r="N196" s="34">
        <v>9.9499999999999993</v>
      </c>
      <c r="O196" s="34">
        <v>15.82</v>
      </c>
      <c r="P196" s="34">
        <v>2</v>
      </c>
      <c r="Q196" s="34">
        <v>6.39</v>
      </c>
      <c r="R196" s="34">
        <v>1</v>
      </c>
      <c r="S196" s="34"/>
      <c r="T196" s="49" t="str">
        <f t="shared" si="3"/>
        <v/>
      </c>
    </row>
    <row r="197" spans="1:20" ht="16.2" thickBot="1" x14ac:dyDescent="0.35">
      <c r="A197" s="36" t="s">
        <v>161</v>
      </c>
      <c r="B197" s="32">
        <v>656</v>
      </c>
      <c r="C197" s="32" t="s">
        <v>123</v>
      </c>
      <c r="D197" s="32">
        <v>5.5</v>
      </c>
      <c r="E197" s="32">
        <v>5</v>
      </c>
      <c r="F197" s="32">
        <v>4.9400000000000004</v>
      </c>
      <c r="G197" s="32"/>
      <c r="H197" s="32"/>
      <c r="I197" s="32"/>
      <c r="J197" s="32"/>
      <c r="K197" s="32"/>
      <c r="L197" s="32"/>
      <c r="M197" s="32"/>
      <c r="N197" s="32">
        <v>9.9499999999999993</v>
      </c>
      <c r="O197" s="32">
        <v>15.44</v>
      </c>
      <c r="P197" s="32">
        <v>1</v>
      </c>
      <c r="Q197" s="32">
        <v>15.19</v>
      </c>
      <c r="R197" s="32">
        <v>2</v>
      </c>
      <c r="S197" s="32">
        <v>84.81</v>
      </c>
      <c r="T197" s="50" t="str">
        <f t="shared" si="3"/>
        <v>Satisfactory</v>
      </c>
    </row>
    <row r="198" spans="1:20" ht="16.2" thickTop="1" x14ac:dyDescent="0.3">
      <c r="A198" s="35" t="s">
        <v>162</v>
      </c>
      <c r="B198" s="34">
        <v>656</v>
      </c>
      <c r="C198" s="34" t="s">
        <v>123</v>
      </c>
      <c r="D198" s="34">
        <v>11.14</v>
      </c>
      <c r="E198" s="34">
        <v>7.23</v>
      </c>
      <c r="F198" s="34">
        <v>5.94</v>
      </c>
      <c r="G198" s="34"/>
      <c r="H198" s="34"/>
      <c r="I198" s="34"/>
      <c r="J198" s="34"/>
      <c r="K198" s="34"/>
      <c r="L198" s="34"/>
      <c r="M198" s="34"/>
      <c r="N198" s="34">
        <v>9.42</v>
      </c>
      <c r="O198" s="34">
        <v>24.31</v>
      </c>
      <c r="P198" s="34">
        <v>3</v>
      </c>
      <c r="Q198" s="34">
        <v>9.3699999999999992</v>
      </c>
      <c r="R198" s="34">
        <v>1</v>
      </c>
      <c r="S198" s="34"/>
      <c r="T198" s="49" t="str">
        <f t="shared" si="3"/>
        <v/>
      </c>
    </row>
    <row r="199" spans="1:20" x14ac:dyDescent="0.3">
      <c r="A199" s="33" t="s">
        <v>162</v>
      </c>
      <c r="B199" s="31">
        <v>656</v>
      </c>
      <c r="C199" s="31" t="s">
        <v>123</v>
      </c>
      <c r="D199" s="31">
        <v>11.14</v>
      </c>
      <c r="E199" s="31">
        <v>7.23</v>
      </c>
      <c r="F199" s="31">
        <v>5</v>
      </c>
      <c r="G199" s="31"/>
      <c r="H199" s="31"/>
      <c r="I199" s="31"/>
      <c r="J199" s="31"/>
      <c r="K199" s="31"/>
      <c r="L199" s="31"/>
      <c r="M199" s="31"/>
      <c r="N199" s="31">
        <v>9.42</v>
      </c>
      <c r="O199" s="31">
        <v>23.37</v>
      </c>
      <c r="P199" s="31">
        <v>2</v>
      </c>
      <c r="Q199" s="31">
        <v>12.52</v>
      </c>
      <c r="R199" s="31">
        <v>2</v>
      </c>
      <c r="S199" s="31"/>
      <c r="T199" s="51" t="str">
        <f t="shared" si="3"/>
        <v/>
      </c>
    </row>
    <row r="200" spans="1:20" ht="16.2" thickBot="1" x14ac:dyDescent="0.35">
      <c r="A200" s="36" t="s">
        <v>162</v>
      </c>
      <c r="B200" s="32">
        <v>656</v>
      </c>
      <c r="C200" s="32" t="s">
        <v>123</v>
      </c>
      <c r="D200" s="32">
        <v>11.14</v>
      </c>
      <c r="E200" s="32">
        <v>5</v>
      </c>
      <c r="F200" s="32">
        <v>5</v>
      </c>
      <c r="G200" s="32"/>
      <c r="H200" s="32"/>
      <c r="I200" s="32"/>
      <c r="J200" s="32"/>
      <c r="K200" s="32"/>
      <c r="L200" s="32"/>
      <c r="M200" s="32"/>
      <c r="N200" s="32">
        <v>9.42</v>
      </c>
      <c r="O200" s="32">
        <v>21.14</v>
      </c>
      <c r="P200" s="32">
        <v>1</v>
      </c>
      <c r="Q200" s="32">
        <v>20.87</v>
      </c>
      <c r="R200" s="32">
        <v>3</v>
      </c>
      <c r="S200" s="32">
        <v>79.13</v>
      </c>
      <c r="T200" s="50" t="str">
        <f t="shared" si="3"/>
        <v>Satisfactory</v>
      </c>
    </row>
    <row r="201" spans="1:20" ht="16.2" thickTop="1" x14ac:dyDescent="0.3">
      <c r="A201" s="35" t="s">
        <v>163</v>
      </c>
      <c r="B201" s="34">
        <v>656</v>
      </c>
      <c r="C201" s="34" t="s">
        <v>123</v>
      </c>
      <c r="D201" s="34">
        <v>13.35</v>
      </c>
      <c r="E201" s="34">
        <v>9.99</v>
      </c>
      <c r="F201" s="34">
        <v>1.72</v>
      </c>
      <c r="G201" s="34"/>
      <c r="H201" s="34"/>
      <c r="I201" s="34"/>
      <c r="J201" s="34"/>
      <c r="K201" s="34"/>
      <c r="L201" s="34"/>
      <c r="M201" s="34"/>
      <c r="N201" s="34">
        <v>9.2100000000000009</v>
      </c>
      <c r="O201" s="34">
        <v>25.06</v>
      </c>
      <c r="P201" s="34">
        <v>2</v>
      </c>
      <c r="Q201" s="34">
        <v>13.88</v>
      </c>
      <c r="R201" s="34">
        <v>1</v>
      </c>
      <c r="S201" s="34"/>
      <c r="T201" s="49" t="str">
        <f t="shared" si="3"/>
        <v/>
      </c>
    </row>
    <row r="202" spans="1:20" ht="16.2" thickBot="1" x14ac:dyDescent="0.35">
      <c r="A202" s="36" t="s">
        <v>163</v>
      </c>
      <c r="B202" s="32">
        <v>656</v>
      </c>
      <c r="C202" s="32" t="s">
        <v>123</v>
      </c>
      <c r="D202" s="32">
        <v>13.35</v>
      </c>
      <c r="E202" s="32">
        <v>5</v>
      </c>
      <c r="F202" s="32">
        <v>1.72</v>
      </c>
      <c r="G202" s="32"/>
      <c r="H202" s="32"/>
      <c r="I202" s="32"/>
      <c r="J202" s="32"/>
      <c r="K202" s="32"/>
      <c r="L202" s="32"/>
      <c r="M202" s="32"/>
      <c r="N202" s="32">
        <v>9.2100000000000009</v>
      </c>
      <c r="O202" s="32">
        <v>20.07</v>
      </c>
      <c r="P202" s="32">
        <v>1</v>
      </c>
      <c r="Q202" s="32">
        <v>19.809999999999999</v>
      </c>
      <c r="R202" s="32">
        <v>2</v>
      </c>
      <c r="S202" s="32">
        <v>80.19</v>
      </c>
      <c r="T202" s="50" t="str">
        <f t="shared" si="3"/>
        <v>Satisfactory</v>
      </c>
    </row>
    <row r="203" spans="1:20" ht="16.8" thickTop="1" thickBot="1" x14ac:dyDescent="0.35">
      <c r="A203" s="62" t="s">
        <v>164</v>
      </c>
      <c r="B203" s="63">
        <v>658</v>
      </c>
      <c r="C203" s="63">
        <v>7.36</v>
      </c>
      <c r="D203" s="63">
        <v>7.36</v>
      </c>
      <c r="E203" s="63"/>
      <c r="F203" s="63"/>
      <c r="G203" s="63"/>
      <c r="H203" s="63"/>
      <c r="I203" s="63"/>
      <c r="J203" s="63"/>
      <c r="K203" s="63"/>
      <c r="L203" s="63"/>
      <c r="M203" s="63"/>
      <c r="N203" s="63">
        <v>9.7799999999999994</v>
      </c>
      <c r="O203" s="63" t="s">
        <v>123</v>
      </c>
      <c r="P203" s="63" t="s">
        <v>123</v>
      </c>
      <c r="Q203" s="63" t="s">
        <v>123</v>
      </c>
      <c r="R203" s="63" t="s">
        <v>123</v>
      </c>
      <c r="S203" s="63">
        <v>92.64</v>
      </c>
      <c r="T203" s="64" t="str">
        <f t="shared" si="3"/>
        <v>Good</v>
      </c>
    </row>
    <row r="204" spans="1:20" ht="16.2" thickTop="1" x14ac:dyDescent="0.3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48" t="str">
        <f t="shared" si="3"/>
        <v/>
      </c>
    </row>
    <row r="205" spans="1:20" x14ac:dyDescent="0.3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48" t="str">
        <f t="shared" si="3"/>
        <v/>
      </c>
    </row>
    <row r="206" spans="1:20" x14ac:dyDescent="0.3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48" t="str">
        <f t="shared" si="3"/>
        <v/>
      </c>
    </row>
    <row r="207" spans="1:20" x14ac:dyDescent="0.3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48" t="str">
        <f t="shared" si="3"/>
        <v/>
      </c>
    </row>
    <row r="208" spans="1:20" x14ac:dyDescent="0.3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48" t="str">
        <f t="shared" si="3"/>
        <v/>
      </c>
    </row>
    <row r="209" spans="1:20" x14ac:dyDescent="0.3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48" t="str">
        <f t="shared" si="3"/>
        <v/>
      </c>
    </row>
    <row r="210" spans="1:20" x14ac:dyDescent="0.3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48" t="str">
        <f t="shared" si="3"/>
        <v/>
      </c>
    </row>
    <row r="211" spans="1:20" x14ac:dyDescent="0.3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48" t="str">
        <f t="shared" si="3"/>
        <v/>
      </c>
    </row>
    <row r="212" spans="1:20" x14ac:dyDescent="0.3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48" t="str">
        <f t="shared" si="3"/>
        <v/>
      </c>
    </row>
    <row r="213" spans="1:20" x14ac:dyDescent="0.3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48" t="str">
        <f t="shared" si="3"/>
        <v/>
      </c>
    </row>
    <row r="214" spans="1:20" x14ac:dyDescent="0.3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48" t="str">
        <f t="shared" si="3"/>
        <v/>
      </c>
    </row>
    <row r="215" spans="1:20" x14ac:dyDescent="0.3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48" t="str">
        <f t="shared" si="3"/>
        <v/>
      </c>
    </row>
    <row r="216" spans="1:20" x14ac:dyDescent="0.3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48" t="str">
        <f t="shared" si="3"/>
        <v/>
      </c>
    </row>
    <row r="217" spans="1:20" x14ac:dyDescent="0.3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48" t="str">
        <f t="shared" si="3"/>
        <v/>
      </c>
    </row>
    <row r="218" spans="1:20" x14ac:dyDescent="0.3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48" t="str">
        <f t="shared" si="3"/>
        <v/>
      </c>
    </row>
    <row r="219" spans="1:20" x14ac:dyDescent="0.3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48" t="str">
        <f t="shared" si="3"/>
        <v/>
      </c>
    </row>
    <row r="220" spans="1:20" x14ac:dyDescent="0.3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48" t="str">
        <f t="shared" si="3"/>
        <v/>
      </c>
    </row>
    <row r="221" spans="1:20" x14ac:dyDescent="0.3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48" t="str">
        <f t="shared" si="3"/>
        <v/>
      </c>
    </row>
    <row r="222" spans="1:20" x14ac:dyDescent="0.3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48" t="str">
        <f t="shared" si="3"/>
        <v/>
      </c>
    </row>
    <row r="223" spans="1:20" x14ac:dyDescent="0.3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48" t="str">
        <f t="shared" si="3"/>
        <v/>
      </c>
    </row>
    <row r="224" spans="1:20" x14ac:dyDescent="0.3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48" t="str">
        <f t="shared" si="3"/>
        <v/>
      </c>
    </row>
    <row r="225" spans="1:20" x14ac:dyDescent="0.3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48" t="str">
        <f t="shared" si="3"/>
        <v/>
      </c>
    </row>
    <row r="226" spans="1:20" x14ac:dyDescent="0.3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48" t="str">
        <f t="shared" si="3"/>
        <v/>
      </c>
    </row>
    <row r="227" spans="1:20" x14ac:dyDescent="0.3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48" t="str">
        <f t="shared" si="3"/>
        <v/>
      </c>
    </row>
    <row r="228" spans="1:20" x14ac:dyDescent="0.3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48" t="str">
        <f t="shared" si="3"/>
        <v/>
      </c>
    </row>
    <row r="229" spans="1:20" x14ac:dyDescent="0.3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48" t="str">
        <f t="shared" si="3"/>
        <v/>
      </c>
    </row>
    <row r="230" spans="1:20" x14ac:dyDescent="0.3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48" t="str">
        <f t="shared" si="3"/>
        <v/>
      </c>
    </row>
    <row r="231" spans="1:20" x14ac:dyDescent="0.3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48" t="str">
        <f t="shared" si="3"/>
        <v/>
      </c>
    </row>
    <row r="232" spans="1:20" x14ac:dyDescent="0.3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48" t="str">
        <f t="shared" si="3"/>
        <v/>
      </c>
    </row>
    <row r="233" spans="1:20" x14ac:dyDescent="0.3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48" t="str">
        <f t="shared" si="3"/>
        <v/>
      </c>
    </row>
    <row r="234" spans="1:20" x14ac:dyDescent="0.3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48" t="str">
        <f t="shared" si="3"/>
        <v/>
      </c>
    </row>
    <row r="235" spans="1:20" x14ac:dyDescent="0.3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48" t="str">
        <f t="shared" si="3"/>
        <v/>
      </c>
    </row>
    <row r="236" spans="1:20" x14ac:dyDescent="0.3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48" t="str">
        <f t="shared" si="3"/>
        <v/>
      </c>
    </row>
    <row r="237" spans="1:20" x14ac:dyDescent="0.3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48" t="str">
        <f t="shared" si="3"/>
        <v/>
      </c>
    </row>
    <row r="238" spans="1:20" x14ac:dyDescent="0.3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48" t="str">
        <f t="shared" si="3"/>
        <v/>
      </c>
    </row>
    <row r="239" spans="1:20" x14ac:dyDescent="0.3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48" t="str">
        <f t="shared" si="3"/>
        <v/>
      </c>
    </row>
    <row r="240" spans="1:20" x14ac:dyDescent="0.3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48" t="str">
        <f t="shared" si="3"/>
        <v/>
      </c>
    </row>
    <row r="241" spans="1:20" x14ac:dyDescent="0.3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48" t="str">
        <f t="shared" si="3"/>
        <v/>
      </c>
    </row>
    <row r="242" spans="1:20" x14ac:dyDescent="0.3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48" t="str">
        <f t="shared" si="3"/>
        <v/>
      </c>
    </row>
    <row r="243" spans="1:20" x14ac:dyDescent="0.3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48" t="str">
        <f t="shared" si="3"/>
        <v/>
      </c>
    </row>
    <row r="244" spans="1:20" x14ac:dyDescent="0.3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48" t="str">
        <f t="shared" si="3"/>
        <v/>
      </c>
    </row>
    <row r="245" spans="1:20" x14ac:dyDescent="0.3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48" t="str">
        <f t="shared" si="3"/>
        <v/>
      </c>
    </row>
    <row r="246" spans="1:20" x14ac:dyDescent="0.3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48" t="str">
        <f t="shared" si="3"/>
        <v/>
      </c>
    </row>
    <row r="247" spans="1:20" x14ac:dyDescent="0.3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48" t="str">
        <f t="shared" si="3"/>
        <v/>
      </c>
    </row>
    <row r="248" spans="1:20" x14ac:dyDescent="0.3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48" t="str">
        <f t="shared" si="3"/>
        <v/>
      </c>
    </row>
    <row r="249" spans="1:20" x14ac:dyDescent="0.3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48" t="str">
        <f t="shared" si="3"/>
        <v/>
      </c>
    </row>
    <row r="250" spans="1:20" x14ac:dyDescent="0.3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48" t="str">
        <f t="shared" si="3"/>
        <v/>
      </c>
    </row>
    <row r="251" spans="1:20" x14ac:dyDescent="0.3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48" t="str">
        <f t="shared" si="3"/>
        <v/>
      </c>
    </row>
    <row r="252" spans="1:20" x14ac:dyDescent="0.3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48" t="str">
        <f t="shared" si="3"/>
        <v/>
      </c>
    </row>
    <row r="253" spans="1:20" x14ac:dyDescent="0.3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48" t="str">
        <f t="shared" si="3"/>
        <v/>
      </c>
    </row>
    <row r="254" spans="1:20" x14ac:dyDescent="0.3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48" t="str">
        <f t="shared" si="3"/>
        <v/>
      </c>
    </row>
    <row r="255" spans="1:20" x14ac:dyDescent="0.3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48" t="str">
        <f t="shared" ref="T255:T318" si="4">IF(S255="","",IF(AND(S255&lt;=100,S255&gt;85),"Good",IF(AND(S255&lt;=85,S255&gt;70),"Satisfactory",IF(AND(S255&lt;=70,S255&gt;55),"Fair",IF(AND(S255&lt;=55,S255&gt;40),"Poor",IF(AND(S255&lt;=40,S255&gt;25),"Very Poor",IF(AND(S255&lt;=25,S255&gt;10),"Serious",IF(AND(S255&lt;=10,S255&gt;=0),"Failed",""))))))))</f>
        <v/>
      </c>
    </row>
    <row r="256" spans="1:20" x14ac:dyDescent="0.3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48" t="str">
        <f t="shared" si="4"/>
        <v/>
      </c>
    </row>
    <row r="257" spans="1:20" x14ac:dyDescent="0.3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48" t="str">
        <f t="shared" si="4"/>
        <v/>
      </c>
    </row>
    <row r="258" spans="1:20" x14ac:dyDescent="0.3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48" t="str">
        <f t="shared" si="4"/>
        <v/>
      </c>
    </row>
    <row r="259" spans="1:20" x14ac:dyDescent="0.3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48" t="str">
        <f t="shared" si="4"/>
        <v/>
      </c>
    </row>
    <row r="260" spans="1:20" x14ac:dyDescent="0.3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48" t="str">
        <f t="shared" si="4"/>
        <v/>
      </c>
    </row>
    <row r="261" spans="1:20" x14ac:dyDescent="0.3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48" t="str">
        <f t="shared" si="4"/>
        <v/>
      </c>
    </row>
    <row r="262" spans="1:20" x14ac:dyDescent="0.3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48" t="str">
        <f t="shared" si="4"/>
        <v/>
      </c>
    </row>
    <row r="263" spans="1:20" x14ac:dyDescent="0.3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48" t="str">
        <f t="shared" si="4"/>
        <v/>
      </c>
    </row>
    <row r="264" spans="1:20" x14ac:dyDescent="0.3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48" t="str">
        <f t="shared" si="4"/>
        <v/>
      </c>
    </row>
    <row r="265" spans="1:20" x14ac:dyDescent="0.3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48" t="str">
        <f t="shared" si="4"/>
        <v/>
      </c>
    </row>
    <row r="266" spans="1:20" x14ac:dyDescent="0.3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48" t="str">
        <f t="shared" si="4"/>
        <v/>
      </c>
    </row>
    <row r="267" spans="1:20" x14ac:dyDescent="0.3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48" t="str">
        <f t="shared" si="4"/>
        <v/>
      </c>
    </row>
    <row r="268" spans="1:20" x14ac:dyDescent="0.3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48" t="str">
        <f t="shared" si="4"/>
        <v/>
      </c>
    </row>
    <row r="269" spans="1:20" x14ac:dyDescent="0.3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48" t="str">
        <f t="shared" si="4"/>
        <v/>
      </c>
    </row>
    <row r="270" spans="1:20" x14ac:dyDescent="0.3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48" t="str">
        <f t="shared" si="4"/>
        <v/>
      </c>
    </row>
    <row r="271" spans="1:20" x14ac:dyDescent="0.3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48" t="str">
        <f t="shared" si="4"/>
        <v/>
      </c>
    </row>
    <row r="272" spans="1:20" x14ac:dyDescent="0.3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48" t="str">
        <f t="shared" si="4"/>
        <v/>
      </c>
    </row>
    <row r="273" spans="1:20" x14ac:dyDescent="0.3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48" t="str">
        <f t="shared" si="4"/>
        <v/>
      </c>
    </row>
    <row r="274" spans="1:20" x14ac:dyDescent="0.3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48" t="str">
        <f t="shared" si="4"/>
        <v/>
      </c>
    </row>
    <row r="275" spans="1:20" x14ac:dyDescent="0.3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48" t="str">
        <f t="shared" si="4"/>
        <v/>
      </c>
    </row>
    <row r="276" spans="1:20" x14ac:dyDescent="0.3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48" t="str">
        <f t="shared" si="4"/>
        <v/>
      </c>
    </row>
    <row r="277" spans="1:20" x14ac:dyDescent="0.3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48" t="str">
        <f t="shared" si="4"/>
        <v/>
      </c>
    </row>
    <row r="278" spans="1:20" x14ac:dyDescent="0.3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48" t="str">
        <f t="shared" si="4"/>
        <v/>
      </c>
    </row>
    <row r="279" spans="1:20" x14ac:dyDescent="0.3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48" t="str">
        <f t="shared" si="4"/>
        <v/>
      </c>
    </row>
    <row r="280" spans="1:20" x14ac:dyDescent="0.3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48" t="str">
        <f t="shared" si="4"/>
        <v/>
      </c>
    </row>
    <row r="281" spans="1:20" x14ac:dyDescent="0.3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48" t="str">
        <f t="shared" si="4"/>
        <v/>
      </c>
    </row>
    <row r="282" spans="1:20" x14ac:dyDescent="0.3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48" t="str">
        <f t="shared" si="4"/>
        <v/>
      </c>
    </row>
    <row r="283" spans="1:20" x14ac:dyDescent="0.3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48" t="str">
        <f t="shared" si="4"/>
        <v/>
      </c>
    </row>
    <row r="284" spans="1:20" x14ac:dyDescent="0.3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48" t="str">
        <f t="shared" si="4"/>
        <v/>
      </c>
    </row>
    <row r="285" spans="1:20" x14ac:dyDescent="0.3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48" t="str">
        <f t="shared" si="4"/>
        <v/>
      </c>
    </row>
    <row r="286" spans="1:20" x14ac:dyDescent="0.3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48" t="str">
        <f t="shared" si="4"/>
        <v/>
      </c>
    </row>
    <row r="287" spans="1:20" x14ac:dyDescent="0.3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48" t="str">
        <f t="shared" si="4"/>
        <v/>
      </c>
    </row>
    <row r="288" spans="1:20" x14ac:dyDescent="0.3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48" t="str">
        <f t="shared" si="4"/>
        <v/>
      </c>
    </row>
    <row r="289" spans="1:20" x14ac:dyDescent="0.3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48" t="str">
        <f t="shared" si="4"/>
        <v/>
      </c>
    </row>
    <row r="290" spans="1:20" x14ac:dyDescent="0.3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48" t="str">
        <f t="shared" si="4"/>
        <v/>
      </c>
    </row>
    <row r="291" spans="1:20" x14ac:dyDescent="0.3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48" t="str">
        <f t="shared" si="4"/>
        <v/>
      </c>
    </row>
    <row r="292" spans="1:20" x14ac:dyDescent="0.3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48" t="str">
        <f t="shared" si="4"/>
        <v/>
      </c>
    </row>
    <row r="293" spans="1:20" x14ac:dyDescent="0.3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48" t="str">
        <f t="shared" si="4"/>
        <v/>
      </c>
    </row>
    <row r="294" spans="1:20" x14ac:dyDescent="0.3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48" t="str">
        <f t="shared" si="4"/>
        <v/>
      </c>
    </row>
    <row r="295" spans="1:20" x14ac:dyDescent="0.3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48" t="str">
        <f t="shared" si="4"/>
        <v/>
      </c>
    </row>
    <row r="296" spans="1:20" x14ac:dyDescent="0.3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48" t="str">
        <f t="shared" si="4"/>
        <v/>
      </c>
    </row>
    <row r="297" spans="1:20" x14ac:dyDescent="0.3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48" t="str">
        <f t="shared" si="4"/>
        <v/>
      </c>
    </row>
    <row r="298" spans="1:20" x14ac:dyDescent="0.3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48" t="str">
        <f t="shared" si="4"/>
        <v/>
      </c>
    </row>
    <row r="299" spans="1:20" x14ac:dyDescent="0.3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48" t="str">
        <f t="shared" si="4"/>
        <v/>
      </c>
    </row>
    <row r="300" spans="1:20" x14ac:dyDescent="0.3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48" t="str">
        <f t="shared" si="4"/>
        <v/>
      </c>
    </row>
    <row r="301" spans="1:20" x14ac:dyDescent="0.3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48" t="str">
        <f t="shared" si="4"/>
        <v/>
      </c>
    </row>
    <row r="302" spans="1:20" x14ac:dyDescent="0.3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48" t="str">
        <f t="shared" si="4"/>
        <v/>
      </c>
    </row>
    <row r="303" spans="1:20" x14ac:dyDescent="0.3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48" t="str">
        <f t="shared" si="4"/>
        <v/>
      </c>
    </row>
    <row r="304" spans="1:20" x14ac:dyDescent="0.3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48" t="str">
        <f t="shared" si="4"/>
        <v/>
      </c>
    </row>
    <row r="305" spans="1:20" x14ac:dyDescent="0.3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48" t="str">
        <f t="shared" si="4"/>
        <v/>
      </c>
    </row>
    <row r="306" spans="1:20" x14ac:dyDescent="0.3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48" t="str">
        <f t="shared" si="4"/>
        <v/>
      </c>
    </row>
    <row r="307" spans="1:20" x14ac:dyDescent="0.3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48" t="str">
        <f t="shared" si="4"/>
        <v/>
      </c>
    </row>
    <row r="308" spans="1:20" x14ac:dyDescent="0.3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48" t="str">
        <f t="shared" si="4"/>
        <v/>
      </c>
    </row>
    <row r="309" spans="1:20" x14ac:dyDescent="0.3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48" t="str">
        <f t="shared" si="4"/>
        <v/>
      </c>
    </row>
    <row r="310" spans="1:20" x14ac:dyDescent="0.3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48" t="str">
        <f t="shared" si="4"/>
        <v/>
      </c>
    </row>
    <row r="311" spans="1:20" x14ac:dyDescent="0.3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48" t="str">
        <f t="shared" si="4"/>
        <v/>
      </c>
    </row>
    <row r="312" spans="1:20" x14ac:dyDescent="0.3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48" t="str">
        <f t="shared" si="4"/>
        <v/>
      </c>
    </row>
    <row r="313" spans="1:20" x14ac:dyDescent="0.3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48" t="str">
        <f t="shared" si="4"/>
        <v/>
      </c>
    </row>
    <row r="314" spans="1:20" x14ac:dyDescent="0.3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48" t="str">
        <f t="shared" si="4"/>
        <v/>
      </c>
    </row>
    <row r="315" spans="1:20" x14ac:dyDescent="0.3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48" t="str">
        <f t="shared" si="4"/>
        <v/>
      </c>
    </row>
    <row r="316" spans="1:20" x14ac:dyDescent="0.3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48" t="str">
        <f t="shared" si="4"/>
        <v/>
      </c>
    </row>
    <row r="317" spans="1:20" x14ac:dyDescent="0.3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48" t="str">
        <f t="shared" si="4"/>
        <v/>
      </c>
    </row>
    <row r="318" spans="1:20" x14ac:dyDescent="0.3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48" t="str">
        <f t="shared" si="4"/>
        <v/>
      </c>
    </row>
    <row r="319" spans="1:20" x14ac:dyDescent="0.3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48" t="str">
        <f t="shared" ref="T319:T382" si="5">IF(S319="","",IF(AND(S319&lt;=100,S319&gt;85),"Good",IF(AND(S319&lt;=85,S319&gt;70),"Satisfactory",IF(AND(S319&lt;=70,S319&gt;55),"Fair",IF(AND(S319&lt;=55,S319&gt;40),"Poor",IF(AND(S319&lt;=40,S319&gt;25),"Very Poor",IF(AND(S319&lt;=25,S319&gt;10),"Serious",IF(AND(S319&lt;=10,S319&gt;=0),"Failed",""))))))))</f>
        <v/>
      </c>
    </row>
    <row r="320" spans="1:20" x14ac:dyDescent="0.3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48" t="str">
        <f t="shared" si="5"/>
        <v/>
      </c>
    </row>
    <row r="321" spans="1:20" x14ac:dyDescent="0.3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48" t="str">
        <f t="shared" si="5"/>
        <v/>
      </c>
    </row>
    <row r="322" spans="1:20" x14ac:dyDescent="0.3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48" t="str">
        <f t="shared" si="5"/>
        <v/>
      </c>
    </row>
    <row r="323" spans="1:20" x14ac:dyDescent="0.3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48" t="str">
        <f t="shared" si="5"/>
        <v/>
      </c>
    </row>
    <row r="324" spans="1:20" x14ac:dyDescent="0.3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48" t="str">
        <f t="shared" si="5"/>
        <v/>
      </c>
    </row>
    <row r="325" spans="1:20" x14ac:dyDescent="0.3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48" t="str">
        <f t="shared" si="5"/>
        <v/>
      </c>
    </row>
    <row r="326" spans="1:20" x14ac:dyDescent="0.3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48" t="str">
        <f t="shared" si="5"/>
        <v/>
      </c>
    </row>
    <row r="327" spans="1:20" x14ac:dyDescent="0.3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48" t="str">
        <f t="shared" si="5"/>
        <v/>
      </c>
    </row>
    <row r="328" spans="1:20" x14ac:dyDescent="0.3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48" t="str">
        <f t="shared" si="5"/>
        <v/>
      </c>
    </row>
    <row r="329" spans="1:20" x14ac:dyDescent="0.3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48" t="str">
        <f t="shared" si="5"/>
        <v/>
      </c>
    </row>
    <row r="330" spans="1:20" x14ac:dyDescent="0.3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48" t="str">
        <f t="shared" si="5"/>
        <v/>
      </c>
    </row>
    <row r="331" spans="1:20" x14ac:dyDescent="0.3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48" t="str">
        <f t="shared" si="5"/>
        <v/>
      </c>
    </row>
    <row r="332" spans="1:20" x14ac:dyDescent="0.3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48" t="str">
        <f t="shared" si="5"/>
        <v/>
      </c>
    </row>
    <row r="333" spans="1:20" x14ac:dyDescent="0.3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48" t="str">
        <f t="shared" si="5"/>
        <v/>
      </c>
    </row>
    <row r="334" spans="1:20" x14ac:dyDescent="0.3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48" t="str">
        <f t="shared" si="5"/>
        <v/>
      </c>
    </row>
    <row r="335" spans="1:20" x14ac:dyDescent="0.3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48" t="str">
        <f t="shared" si="5"/>
        <v/>
      </c>
    </row>
    <row r="336" spans="1:20" x14ac:dyDescent="0.3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48" t="str">
        <f t="shared" si="5"/>
        <v/>
      </c>
    </row>
    <row r="337" spans="1:20" x14ac:dyDescent="0.3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48" t="str">
        <f t="shared" si="5"/>
        <v/>
      </c>
    </row>
    <row r="338" spans="1:20" x14ac:dyDescent="0.3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48" t="str">
        <f t="shared" si="5"/>
        <v/>
      </c>
    </row>
    <row r="339" spans="1:20" x14ac:dyDescent="0.3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48" t="str">
        <f t="shared" si="5"/>
        <v/>
      </c>
    </row>
    <row r="340" spans="1:20" x14ac:dyDescent="0.3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48" t="str">
        <f t="shared" si="5"/>
        <v/>
      </c>
    </row>
    <row r="341" spans="1:20" x14ac:dyDescent="0.3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48" t="str">
        <f t="shared" si="5"/>
        <v/>
      </c>
    </row>
    <row r="342" spans="1:20" x14ac:dyDescent="0.3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48" t="str">
        <f t="shared" si="5"/>
        <v/>
      </c>
    </row>
    <row r="343" spans="1:20" x14ac:dyDescent="0.3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48" t="str">
        <f t="shared" si="5"/>
        <v/>
      </c>
    </row>
    <row r="344" spans="1:20" x14ac:dyDescent="0.3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48" t="str">
        <f t="shared" si="5"/>
        <v/>
      </c>
    </row>
    <row r="345" spans="1:20" x14ac:dyDescent="0.3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48" t="str">
        <f t="shared" si="5"/>
        <v/>
      </c>
    </row>
    <row r="346" spans="1:20" x14ac:dyDescent="0.3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48" t="str">
        <f t="shared" si="5"/>
        <v/>
      </c>
    </row>
    <row r="347" spans="1:20" x14ac:dyDescent="0.3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48" t="str">
        <f t="shared" si="5"/>
        <v/>
      </c>
    </row>
    <row r="348" spans="1:20" x14ac:dyDescent="0.3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48" t="str">
        <f t="shared" si="5"/>
        <v/>
      </c>
    </row>
    <row r="349" spans="1:20" x14ac:dyDescent="0.3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48" t="str">
        <f t="shared" si="5"/>
        <v/>
      </c>
    </row>
    <row r="350" spans="1:20" x14ac:dyDescent="0.3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48" t="str">
        <f t="shared" si="5"/>
        <v/>
      </c>
    </row>
    <row r="351" spans="1:20" x14ac:dyDescent="0.3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48" t="str">
        <f t="shared" si="5"/>
        <v/>
      </c>
    </row>
    <row r="352" spans="1:20" x14ac:dyDescent="0.3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48" t="str">
        <f t="shared" si="5"/>
        <v/>
      </c>
    </row>
    <row r="353" spans="1:20" x14ac:dyDescent="0.3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48" t="str">
        <f t="shared" si="5"/>
        <v/>
      </c>
    </row>
    <row r="354" spans="1:20" x14ac:dyDescent="0.3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48" t="str">
        <f t="shared" si="5"/>
        <v/>
      </c>
    </row>
    <row r="355" spans="1:20" x14ac:dyDescent="0.3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48" t="str">
        <f t="shared" si="5"/>
        <v/>
      </c>
    </row>
    <row r="356" spans="1:20" x14ac:dyDescent="0.3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48" t="str">
        <f t="shared" si="5"/>
        <v/>
      </c>
    </row>
    <row r="357" spans="1:20" x14ac:dyDescent="0.3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48" t="str">
        <f t="shared" si="5"/>
        <v/>
      </c>
    </row>
    <row r="358" spans="1:20" x14ac:dyDescent="0.3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48" t="str">
        <f t="shared" si="5"/>
        <v/>
      </c>
    </row>
    <row r="359" spans="1:20" x14ac:dyDescent="0.3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48" t="str">
        <f t="shared" si="5"/>
        <v/>
      </c>
    </row>
    <row r="360" spans="1:20" x14ac:dyDescent="0.3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48" t="str">
        <f t="shared" si="5"/>
        <v/>
      </c>
    </row>
    <row r="361" spans="1:20" x14ac:dyDescent="0.3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48" t="str">
        <f t="shared" si="5"/>
        <v/>
      </c>
    </row>
    <row r="362" spans="1:20" x14ac:dyDescent="0.3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48" t="str">
        <f t="shared" si="5"/>
        <v/>
      </c>
    </row>
    <row r="363" spans="1:20" x14ac:dyDescent="0.3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48" t="str">
        <f t="shared" si="5"/>
        <v/>
      </c>
    </row>
    <row r="364" spans="1:20" x14ac:dyDescent="0.3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48" t="str">
        <f t="shared" si="5"/>
        <v/>
      </c>
    </row>
    <row r="365" spans="1:20" x14ac:dyDescent="0.3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48" t="str">
        <f t="shared" si="5"/>
        <v/>
      </c>
    </row>
    <row r="366" spans="1:20" x14ac:dyDescent="0.3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48" t="str">
        <f t="shared" si="5"/>
        <v/>
      </c>
    </row>
    <row r="367" spans="1:20" x14ac:dyDescent="0.3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48" t="str">
        <f t="shared" si="5"/>
        <v/>
      </c>
    </row>
    <row r="368" spans="1:20" x14ac:dyDescent="0.3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48" t="str">
        <f t="shared" si="5"/>
        <v/>
      </c>
    </row>
    <row r="369" spans="1:20" x14ac:dyDescent="0.3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48" t="str">
        <f t="shared" si="5"/>
        <v/>
      </c>
    </row>
    <row r="370" spans="1:20" x14ac:dyDescent="0.3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48" t="str">
        <f t="shared" si="5"/>
        <v/>
      </c>
    </row>
    <row r="371" spans="1:20" x14ac:dyDescent="0.3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48" t="str">
        <f t="shared" si="5"/>
        <v/>
      </c>
    </row>
    <row r="372" spans="1:20" x14ac:dyDescent="0.3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48" t="str">
        <f t="shared" si="5"/>
        <v/>
      </c>
    </row>
    <row r="373" spans="1:20" x14ac:dyDescent="0.3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48" t="str">
        <f t="shared" si="5"/>
        <v/>
      </c>
    </row>
    <row r="374" spans="1:20" x14ac:dyDescent="0.3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48" t="str">
        <f t="shared" si="5"/>
        <v/>
      </c>
    </row>
    <row r="375" spans="1:20" x14ac:dyDescent="0.3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48" t="str">
        <f t="shared" si="5"/>
        <v/>
      </c>
    </row>
    <row r="376" spans="1:20" x14ac:dyDescent="0.3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48" t="str">
        <f t="shared" si="5"/>
        <v/>
      </c>
    </row>
    <row r="377" spans="1:20" x14ac:dyDescent="0.3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48" t="str">
        <f t="shared" si="5"/>
        <v/>
      </c>
    </row>
    <row r="378" spans="1:20" x14ac:dyDescent="0.3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48" t="str">
        <f t="shared" si="5"/>
        <v/>
      </c>
    </row>
    <row r="379" spans="1:20" x14ac:dyDescent="0.3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48" t="str">
        <f t="shared" si="5"/>
        <v/>
      </c>
    </row>
    <row r="380" spans="1:20" x14ac:dyDescent="0.3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48" t="str">
        <f t="shared" si="5"/>
        <v/>
      </c>
    </row>
    <row r="381" spans="1:20" x14ac:dyDescent="0.3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48" t="str">
        <f t="shared" si="5"/>
        <v/>
      </c>
    </row>
    <row r="382" spans="1:20" x14ac:dyDescent="0.3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48" t="str">
        <f t="shared" si="5"/>
        <v/>
      </c>
    </row>
    <row r="383" spans="1:20" x14ac:dyDescent="0.3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48" t="str">
        <f t="shared" ref="T383:T446" si="6">IF(S383="","",IF(AND(S383&lt;=100,S383&gt;85),"Good",IF(AND(S383&lt;=85,S383&gt;70),"Satisfactory",IF(AND(S383&lt;=70,S383&gt;55),"Fair",IF(AND(S383&lt;=55,S383&gt;40),"Poor",IF(AND(S383&lt;=40,S383&gt;25),"Very Poor",IF(AND(S383&lt;=25,S383&gt;10),"Serious",IF(AND(S383&lt;=10,S383&gt;=0),"Failed",""))))))))</f>
        <v/>
      </c>
    </row>
    <row r="384" spans="1:20" x14ac:dyDescent="0.3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48" t="str">
        <f t="shared" si="6"/>
        <v/>
      </c>
    </row>
    <row r="385" spans="1:20" x14ac:dyDescent="0.3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48" t="str">
        <f t="shared" si="6"/>
        <v/>
      </c>
    </row>
    <row r="386" spans="1:20" x14ac:dyDescent="0.3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48" t="str">
        <f t="shared" si="6"/>
        <v/>
      </c>
    </row>
    <row r="387" spans="1:20" x14ac:dyDescent="0.3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48" t="str">
        <f t="shared" si="6"/>
        <v/>
      </c>
    </row>
    <row r="388" spans="1:20" x14ac:dyDescent="0.3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48" t="str">
        <f t="shared" si="6"/>
        <v/>
      </c>
    </row>
    <row r="389" spans="1:20" x14ac:dyDescent="0.3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48" t="str">
        <f t="shared" si="6"/>
        <v/>
      </c>
    </row>
    <row r="390" spans="1:20" x14ac:dyDescent="0.3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48" t="str">
        <f t="shared" si="6"/>
        <v/>
      </c>
    </row>
    <row r="391" spans="1:20" x14ac:dyDescent="0.3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48" t="str">
        <f t="shared" si="6"/>
        <v/>
      </c>
    </row>
    <row r="392" spans="1:20" x14ac:dyDescent="0.3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48" t="str">
        <f t="shared" si="6"/>
        <v/>
      </c>
    </row>
    <row r="393" spans="1:20" x14ac:dyDescent="0.3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48" t="str">
        <f t="shared" si="6"/>
        <v/>
      </c>
    </row>
    <row r="394" spans="1:20" x14ac:dyDescent="0.3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48" t="str">
        <f t="shared" si="6"/>
        <v/>
      </c>
    </row>
    <row r="395" spans="1:20" x14ac:dyDescent="0.3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48" t="str">
        <f t="shared" si="6"/>
        <v/>
      </c>
    </row>
    <row r="396" spans="1:20" x14ac:dyDescent="0.3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48" t="str">
        <f t="shared" si="6"/>
        <v/>
      </c>
    </row>
    <row r="397" spans="1:20" x14ac:dyDescent="0.3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48" t="str">
        <f t="shared" si="6"/>
        <v/>
      </c>
    </row>
    <row r="398" spans="1:20" x14ac:dyDescent="0.3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48" t="str">
        <f t="shared" si="6"/>
        <v/>
      </c>
    </row>
    <row r="399" spans="1:20" x14ac:dyDescent="0.3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48" t="str">
        <f t="shared" si="6"/>
        <v/>
      </c>
    </row>
    <row r="400" spans="1:20" x14ac:dyDescent="0.3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48" t="str">
        <f t="shared" si="6"/>
        <v/>
      </c>
    </row>
    <row r="401" spans="1:20" x14ac:dyDescent="0.3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48" t="str">
        <f t="shared" si="6"/>
        <v/>
      </c>
    </row>
    <row r="402" spans="1:20" x14ac:dyDescent="0.3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48" t="str">
        <f t="shared" si="6"/>
        <v/>
      </c>
    </row>
    <row r="403" spans="1:20" x14ac:dyDescent="0.3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48" t="str">
        <f t="shared" si="6"/>
        <v/>
      </c>
    </row>
    <row r="404" spans="1:20" x14ac:dyDescent="0.3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48" t="str">
        <f t="shared" si="6"/>
        <v/>
      </c>
    </row>
    <row r="405" spans="1:20" x14ac:dyDescent="0.3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48" t="str">
        <f t="shared" si="6"/>
        <v/>
      </c>
    </row>
    <row r="406" spans="1:20" x14ac:dyDescent="0.3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48" t="str">
        <f t="shared" si="6"/>
        <v/>
      </c>
    </row>
    <row r="407" spans="1:20" x14ac:dyDescent="0.3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48" t="str">
        <f t="shared" si="6"/>
        <v/>
      </c>
    </row>
    <row r="408" spans="1:20" x14ac:dyDescent="0.3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48" t="str">
        <f t="shared" si="6"/>
        <v/>
      </c>
    </row>
    <row r="409" spans="1:20" x14ac:dyDescent="0.3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48" t="str">
        <f t="shared" si="6"/>
        <v/>
      </c>
    </row>
    <row r="410" spans="1:20" x14ac:dyDescent="0.3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48" t="str">
        <f t="shared" si="6"/>
        <v/>
      </c>
    </row>
    <row r="411" spans="1:20" x14ac:dyDescent="0.3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48" t="str">
        <f t="shared" si="6"/>
        <v/>
      </c>
    </row>
    <row r="412" spans="1:20" x14ac:dyDescent="0.3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48" t="str">
        <f t="shared" si="6"/>
        <v/>
      </c>
    </row>
    <row r="413" spans="1:20" x14ac:dyDescent="0.3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48" t="str">
        <f t="shared" si="6"/>
        <v/>
      </c>
    </row>
    <row r="414" spans="1:20" x14ac:dyDescent="0.3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48" t="str">
        <f t="shared" si="6"/>
        <v/>
      </c>
    </row>
    <row r="415" spans="1:20" x14ac:dyDescent="0.3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48" t="str">
        <f t="shared" si="6"/>
        <v/>
      </c>
    </row>
    <row r="416" spans="1:20" x14ac:dyDescent="0.3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48" t="str">
        <f t="shared" si="6"/>
        <v/>
      </c>
    </row>
    <row r="417" spans="1:20" x14ac:dyDescent="0.3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48" t="str">
        <f t="shared" si="6"/>
        <v/>
      </c>
    </row>
    <row r="418" spans="1:20" x14ac:dyDescent="0.3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48" t="str">
        <f t="shared" si="6"/>
        <v/>
      </c>
    </row>
    <row r="419" spans="1:20" x14ac:dyDescent="0.3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48" t="str">
        <f t="shared" si="6"/>
        <v/>
      </c>
    </row>
    <row r="420" spans="1:20" x14ac:dyDescent="0.3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48" t="str">
        <f t="shared" si="6"/>
        <v/>
      </c>
    </row>
    <row r="421" spans="1:20" x14ac:dyDescent="0.3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48" t="str">
        <f t="shared" si="6"/>
        <v/>
      </c>
    </row>
    <row r="422" spans="1:20" x14ac:dyDescent="0.3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48" t="str">
        <f t="shared" si="6"/>
        <v/>
      </c>
    </row>
    <row r="423" spans="1:20" x14ac:dyDescent="0.3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48" t="str">
        <f t="shared" si="6"/>
        <v/>
      </c>
    </row>
    <row r="424" spans="1:20" x14ac:dyDescent="0.3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48" t="str">
        <f t="shared" si="6"/>
        <v/>
      </c>
    </row>
    <row r="425" spans="1:20" x14ac:dyDescent="0.3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48" t="str">
        <f t="shared" si="6"/>
        <v/>
      </c>
    </row>
    <row r="426" spans="1:20" x14ac:dyDescent="0.3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48" t="str">
        <f t="shared" si="6"/>
        <v/>
      </c>
    </row>
    <row r="427" spans="1:20" x14ac:dyDescent="0.3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48" t="str">
        <f t="shared" si="6"/>
        <v/>
      </c>
    </row>
    <row r="428" spans="1:20" x14ac:dyDescent="0.3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48" t="str">
        <f t="shared" si="6"/>
        <v/>
      </c>
    </row>
    <row r="429" spans="1:20" x14ac:dyDescent="0.3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48" t="str">
        <f t="shared" si="6"/>
        <v/>
      </c>
    </row>
    <row r="430" spans="1:20" x14ac:dyDescent="0.3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48" t="str">
        <f t="shared" si="6"/>
        <v/>
      </c>
    </row>
    <row r="431" spans="1:20" x14ac:dyDescent="0.3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48" t="str">
        <f t="shared" si="6"/>
        <v/>
      </c>
    </row>
    <row r="432" spans="1:20" x14ac:dyDescent="0.3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48" t="str">
        <f t="shared" si="6"/>
        <v/>
      </c>
    </row>
    <row r="433" spans="1:20" x14ac:dyDescent="0.3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48" t="str">
        <f t="shared" si="6"/>
        <v/>
      </c>
    </row>
    <row r="434" spans="1:20" x14ac:dyDescent="0.3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48" t="str">
        <f t="shared" si="6"/>
        <v/>
      </c>
    </row>
    <row r="435" spans="1:20" x14ac:dyDescent="0.3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48" t="str">
        <f t="shared" si="6"/>
        <v/>
      </c>
    </row>
    <row r="436" spans="1:20" x14ac:dyDescent="0.3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48" t="str">
        <f t="shared" si="6"/>
        <v/>
      </c>
    </row>
    <row r="437" spans="1:20" x14ac:dyDescent="0.3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48" t="str">
        <f t="shared" si="6"/>
        <v/>
      </c>
    </row>
    <row r="438" spans="1:20" x14ac:dyDescent="0.3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48" t="str">
        <f t="shared" si="6"/>
        <v/>
      </c>
    </row>
    <row r="439" spans="1:20" x14ac:dyDescent="0.3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48" t="str">
        <f t="shared" si="6"/>
        <v/>
      </c>
    </row>
    <row r="440" spans="1:20" x14ac:dyDescent="0.3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48" t="str">
        <f t="shared" si="6"/>
        <v/>
      </c>
    </row>
    <row r="441" spans="1:20" x14ac:dyDescent="0.3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48" t="str">
        <f t="shared" si="6"/>
        <v/>
      </c>
    </row>
    <row r="442" spans="1:20" x14ac:dyDescent="0.3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48" t="str">
        <f t="shared" si="6"/>
        <v/>
      </c>
    </row>
    <row r="443" spans="1:20" x14ac:dyDescent="0.3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48" t="str">
        <f t="shared" si="6"/>
        <v/>
      </c>
    </row>
    <row r="444" spans="1:20" x14ac:dyDescent="0.3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48" t="str">
        <f t="shared" si="6"/>
        <v/>
      </c>
    </row>
    <row r="445" spans="1:20" x14ac:dyDescent="0.3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48" t="str">
        <f t="shared" si="6"/>
        <v/>
      </c>
    </row>
    <row r="446" spans="1:20" x14ac:dyDescent="0.3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48" t="str">
        <f t="shared" si="6"/>
        <v/>
      </c>
    </row>
    <row r="447" spans="1:20" x14ac:dyDescent="0.3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48" t="str">
        <f t="shared" ref="T447:T494" si="7">IF(S447="","",IF(AND(S447&lt;=100,S447&gt;85),"Good",IF(AND(S447&lt;=85,S447&gt;70),"Satisfactory",IF(AND(S447&lt;=70,S447&gt;55),"Fair",IF(AND(S447&lt;=55,S447&gt;40),"Poor",IF(AND(S447&lt;=40,S447&gt;25),"Very Poor",IF(AND(S447&lt;=25,S447&gt;10),"Serious",IF(AND(S447&lt;=10,S447&gt;=0),"Failed",""))))))))</f>
        <v/>
      </c>
    </row>
    <row r="448" spans="1:20" x14ac:dyDescent="0.3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48" t="str">
        <f t="shared" si="7"/>
        <v/>
      </c>
    </row>
    <row r="449" spans="1:20" x14ac:dyDescent="0.3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48" t="str">
        <f t="shared" si="7"/>
        <v/>
      </c>
    </row>
    <row r="450" spans="1:20" x14ac:dyDescent="0.3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48" t="str">
        <f t="shared" si="7"/>
        <v/>
      </c>
    </row>
    <row r="451" spans="1:20" x14ac:dyDescent="0.3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48" t="str">
        <f t="shared" si="7"/>
        <v/>
      </c>
    </row>
    <row r="452" spans="1:20" x14ac:dyDescent="0.3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48" t="str">
        <f t="shared" si="7"/>
        <v/>
      </c>
    </row>
    <row r="453" spans="1:20" x14ac:dyDescent="0.3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48" t="str">
        <f t="shared" si="7"/>
        <v/>
      </c>
    </row>
    <row r="454" spans="1:20" x14ac:dyDescent="0.3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48" t="str">
        <f t="shared" si="7"/>
        <v/>
      </c>
    </row>
    <row r="455" spans="1:20" x14ac:dyDescent="0.3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48" t="str">
        <f t="shared" si="7"/>
        <v/>
      </c>
    </row>
    <row r="456" spans="1:20" x14ac:dyDescent="0.3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48" t="str">
        <f t="shared" si="7"/>
        <v/>
      </c>
    </row>
    <row r="457" spans="1:20" x14ac:dyDescent="0.3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48" t="str">
        <f t="shared" si="7"/>
        <v/>
      </c>
    </row>
    <row r="458" spans="1:20" x14ac:dyDescent="0.3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48" t="str">
        <f t="shared" si="7"/>
        <v/>
      </c>
    </row>
    <row r="459" spans="1:20" x14ac:dyDescent="0.3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48" t="str">
        <f t="shared" si="7"/>
        <v/>
      </c>
    </row>
    <row r="460" spans="1:20" x14ac:dyDescent="0.3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48" t="str">
        <f t="shared" si="7"/>
        <v/>
      </c>
    </row>
    <row r="461" spans="1:20" x14ac:dyDescent="0.3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48" t="str">
        <f t="shared" si="7"/>
        <v/>
      </c>
    </row>
    <row r="462" spans="1:20" x14ac:dyDescent="0.3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48" t="str">
        <f t="shared" si="7"/>
        <v/>
      </c>
    </row>
    <row r="463" spans="1:20" x14ac:dyDescent="0.3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48" t="str">
        <f t="shared" si="7"/>
        <v/>
      </c>
    </row>
    <row r="464" spans="1:20" x14ac:dyDescent="0.3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48" t="str">
        <f t="shared" si="7"/>
        <v/>
      </c>
    </row>
    <row r="465" spans="1:20" x14ac:dyDescent="0.3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48" t="str">
        <f t="shared" si="7"/>
        <v/>
      </c>
    </row>
    <row r="466" spans="1:20" x14ac:dyDescent="0.3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48" t="str">
        <f t="shared" si="7"/>
        <v/>
      </c>
    </row>
    <row r="467" spans="1:20" x14ac:dyDescent="0.3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48" t="str">
        <f t="shared" si="7"/>
        <v/>
      </c>
    </row>
    <row r="468" spans="1:20" x14ac:dyDescent="0.3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48" t="str">
        <f t="shared" si="7"/>
        <v/>
      </c>
    </row>
    <row r="469" spans="1:20" x14ac:dyDescent="0.3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48" t="str">
        <f t="shared" si="7"/>
        <v/>
      </c>
    </row>
    <row r="470" spans="1:20" x14ac:dyDescent="0.3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48" t="str">
        <f t="shared" si="7"/>
        <v/>
      </c>
    </row>
    <row r="471" spans="1:20" x14ac:dyDescent="0.3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48" t="str">
        <f t="shared" si="7"/>
        <v/>
      </c>
    </row>
    <row r="472" spans="1:20" x14ac:dyDescent="0.3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48" t="str">
        <f t="shared" si="7"/>
        <v/>
      </c>
    </row>
    <row r="473" spans="1:20" x14ac:dyDescent="0.3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48" t="str">
        <f t="shared" si="7"/>
        <v/>
      </c>
    </row>
    <row r="474" spans="1:20" x14ac:dyDescent="0.3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48" t="str">
        <f t="shared" si="7"/>
        <v/>
      </c>
    </row>
    <row r="475" spans="1:20" x14ac:dyDescent="0.3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48" t="str">
        <f t="shared" si="7"/>
        <v/>
      </c>
    </row>
    <row r="476" spans="1:20" x14ac:dyDescent="0.3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48" t="str">
        <f t="shared" si="7"/>
        <v/>
      </c>
    </row>
    <row r="477" spans="1:20" x14ac:dyDescent="0.3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48" t="str">
        <f t="shared" si="7"/>
        <v/>
      </c>
    </row>
    <row r="478" spans="1:20" x14ac:dyDescent="0.3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48" t="str">
        <f t="shared" si="7"/>
        <v/>
      </c>
    </row>
    <row r="479" spans="1:20" x14ac:dyDescent="0.3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48" t="str">
        <f t="shared" si="7"/>
        <v/>
      </c>
    </row>
    <row r="480" spans="1:20" x14ac:dyDescent="0.3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48" t="str">
        <f t="shared" si="7"/>
        <v/>
      </c>
    </row>
    <row r="481" spans="1:20" x14ac:dyDescent="0.3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48" t="str">
        <f t="shared" si="7"/>
        <v/>
      </c>
    </row>
    <row r="482" spans="1:20" x14ac:dyDescent="0.3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48" t="str">
        <f t="shared" si="7"/>
        <v/>
      </c>
    </row>
    <row r="483" spans="1:20" x14ac:dyDescent="0.3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48" t="str">
        <f t="shared" si="7"/>
        <v/>
      </c>
    </row>
    <row r="484" spans="1:20" x14ac:dyDescent="0.3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48" t="str">
        <f t="shared" si="7"/>
        <v/>
      </c>
    </row>
    <row r="485" spans="1:20" x14ac:dyDescent="0.3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48" t="str">
        <f t="shared" si="7"/>
        <v/>
      </c>
    </row>
    <row r="486" spans="1:20" x14ac:dyDescent="0.3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48" t="str">
        <f t="shared" si="7"/>
        <v/>
      </c>
    </row>
    <row r="487" spans="1:20" x14ac:dyDescent="0.3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48" t="str">
        <f t="shared" si="7"/>
        <v/>
      </c>
    </row>
    <row r="488" spans="1:20" x14ac:dyDescent="0.3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48" t="str">
        <f t="shared" si="7"/>
        <v/>
      </c>
    </row>
    <row r="489" spans="1:20" x14ac:dyDescent="0.3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48" t="str">
        <f t="shared" si="7"/>
        <v/>
      </c>
    </row>
    <row r="490" spans="1:20" x14ac:dyDescent="0.3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48" t="str">
        <f t="shared" si="7"/>
        <v/>
      </c>
    </row>
    <row r="491" spans="1:20" x14ac:dyDescent="0.3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48" t="str">
        <f t="shared" si="7"/>
        <v/>
      </c>
    </row>
    <row r="492" spans="1:20" x14ac:dyDescent="0.3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48" t="str">
        <f t="shared" si="7"/>
        <v/>
      </c>
    </row>
    <row r="493" spans="1:20" x14ac:dyDescent="0.3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48" t="str">
        <f t="shared" si="7"/>
        <v/>
      </c>
    </row>
    <row r="494" spans="1:20" x14ac:dyDescent="0.3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48" t="str">
        <f t="shared" si="7"/>
        <v/>
      </c>
    </row>
    <row r="495" spans="1:20" x14ac:dyDescent="0.3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55"/>
    </row>
    <row r="496" spans="1:20" x14ac:dyDescent="0.3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55"/>
    </row>
    <row r="497" spans="1:20" x14ac:dyDescent="0.3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55"/>
    </row>
    <row r="498" spans="1:20" x14ac:dyDescent="0.3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55"/>
    </row>
    <row r="499" spans="1:20" x14ac:dyDescent="0.3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55"/>
    </row>
    <row r="500" spans="1:20" x14ac:dyDescent="0.3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55"/>
    </row>
  </sheetData>
  <sheetProtection algorithmName="SHA-512" hashValue="2sazV5oEeQBAnYu2So0tUoEAP9M7WR/G+bE5mgViAICy5qKjqusLYy69zBvZP9NAjoH7IJxSjoWFAmMeRr/bGw==" saltValue="srLa8/+Kc+7ygjlv49rFLQ==" spinCount="100000" sheet="1" objects="1" scenarios="1"/>
  <mergeCells count="2">
    <mergeCell ref="D3:M3"/>
    <mergeCell ref="A1:T1"/>
  </mergeCells>
  <conditionalFormatting sqref="T3:T494 V6:V11">
    <cfRule type="containsText" dxfId="6" priority="6" operator="containsText" text="Satisfactory">
      <formula>NOT(ISERROR(SEARCH("Satisfactory",T3)))</formula>
    </cfRule>
    <cfRule type="containsText" dxfId="5" priority="7" operator="containsText" text="Good">
      <formula>NOT(ISERROR(SEARCH("Good",T3)))</formula>
    </cfRule>
  </conditionalFormatting>
  <conditionalFormatting sqref="T3:T494">
    <cfRule type="containsText" dxfId="4" priority="1" operator="containsText" text="Failed">
      <formula>NOT(ISERROR(SEARCH("Failed",T3)))</formula>
    </cfRule>
    <cfRule type="containsText" dxfId="3" priority="2" operator="containsText" text="Serious">
      <formula>NOT(ISERROR(SEARCH("Serious",T3)))</formula>
    </cfRule>
    <cfRule type="containsText" dxfId="2" priority="3" operator="containsText" text="Very Poor">
      <formula>NOT(ISERROR(SEARCH("Very Poor",T3)))</formula>
    </cfRule>
    <cfRule type="cellIs" dxfId="1" priority="4" operator="equal">
      <formula>"Poor"</formula>
    </cfRule>
    <cfRule type="containsText" dxfId="0" priority="5" operator="containsText" text="Fair">
      <formula>NOT(ISERROR(SEARCH("Fair",T3)))</formula>
    </cfRule>
  </conditionalFormatting>
  <printOptions horizontalCentered="1"/>
  <pageMargins left="0.6" right="0.4" top="0.6" bottom="0.6" header="0.3" footer="0.3"/>
  <pageSetup paperSize="9" scale="74" orientation="portrait" r:id="rId1"/>
  <ignoredErrors>
    <ignoredError sqref="W4 Z4 AC4 AF4" unlockedFormula="1"/>
  </ignoredError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23</xdr:col>
                <xdr:colOff>312420</xdr:colOff>
                <xdr:row>5</xdr:row>
                <xdr:rowOff>91440</xdr:rowOff>
              </from>
              <to>
                <xdr:col>25</xdr:col>
                <xdr:colOff>563880</xdr:colOff>
                <xdr:row>9</xdr:row>
                <xdr:rowOff>68580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44"/>
  <sheetViews>
    <sheetView zoomScale="70" zoomScaleNormal="70" workbookViewId="0">
      <selection activeCell="AM31" sqref="AM31"/>
    </sheetView>
  </sheetViews>
  <sheetFormatPr defaultRowHeight="15.6" x14ac:dyDescent="0.3"/>
  <cols>
    <col min="1" max="1" width="15.5546875" style="92" bestFit="1" customWidth="1"/>
    <col min="2" max="4" width="7.109375" style="75" bestFit="1" customWidth="1"/>
    <col min="5" max="7" width="7.5546875" style="75" bestFit="1" customWidth="1"/>
    <col min="8" max="8" width="8.109375" style="75" bestFit="1" customWidth="1"/>
    <col min="9" max="9" width="0" style="75" hidden="1" customWidth="1"/>
    <col min="10" max="10" width="5.44140625" style="75" hidden="1" customWidth="1"/>
    <col min="11" max="11" width="7.88671875" style="75" hidden="1" customWidth="1"/>
    <col min="12" max="12" width="2" style="75" hidden="1" customWidth="1"/>
    <col min="13" max="13" width="0" style="75" hidden="1" customWidth="1"/>
    <col min="14" max="14" width="3" style="75" hidden="1" customWidth="1"/>
    <col min="15" max="15" width="0" style="75" hidden="1" customWidth="1"/>
    <col min="16" max="16" width="3" style="75" hidden="1" customWidth="1"/>
    <col min="17" max="17" width="0" style="75" hidden="1" customWidth="1"/>
    <col min="18" max="18" width="4" style="75" hidden="1" customWidth="1"/>
    <col min="19" max="37" width="0" style="75" hidden="1" customWidth="1"/>
    <col min="38" max="16384" width="8.88671875" style="75"/>
  </cols>
  <sheetData>
    <row r="1" spans="1:32" x14ac:dyDescent="0.3">
      <c r="A1" s="76" t="s">
        <v>85</v>
      </c>
      <c r="B1" s="77" t="s">
        <v>86</v>
      </c>
      <c r="C1" s="77" t="s">
        <v>87</v>
      </c>
      <c r="D1" s="77" t="s">
        <v>88</v>
      </c>
      <c r="E1" s="77" t="s">
        <v>89</v>
      </c>
      <c r="F1" s="77" t="s">
        <v>90</v>
      </c>
      <c r="G1" s="77" t="s">
        <v>91</v>
      </c>
      <c r="H1" s="77" t="s">
        <v>92</v>
      </c>
      <c r="J1" s="75">
        <v>1</v>
      </c>
      <c r="L1" s="75">
        <v>5</v>
      </c>
      <c r="N1" s="75">
        <v>10</v>
      </c>
      <c r="P1" s="75">
        <v>50</v>
      </c>
      <c r="R1" s="75">
        <v>100</v>
      </c>
    </row>
    <row r="2" spans="1:32" x14ac:dyDescent="0.3">
      <c r="A2" s="78" t="s">
        <v>78</v>
      </c>
      <c r="B2" s="79">
        <v>1.0388999999999999</v>
      </c>
      <c r="C2" s="79">
        <v>-4.2889999999999997</v>
      </c>
      <c r="D2" s="79">
        <v>0.1106</v>
      </c>
      <c r="E2" s="79">
        <v>7.8066000000000004</v>
      </c>
      <c r="F2" s="79">
        <v>5.3727999999999998</v>
      </c>
      <c r="G2" s="79">
        <v>23.402000000000001</v>
      </c>
      <c r="H2" s="79">
        <v>37.132300000000001</v>
      </c>
      <c r="J2" s="75" t="s">
        <v>166</v>
      </c>
      <c r="K2" s="75" t="s">
        <v>167</v>
      </c>
      <c r="S2" s="75" t="str">
        <f>A2</f>
        <v>1H</v>
      </c>
      <c r="T2" s="80">
        <f>ROUND(B2,1)</f>
        <v>1</v>
      </c>
      <c r="U2" s="80">
        <f t="shared" ref="U2:Z2" si="0">ROUND(C2,1)</f>
        <v>-4.3</v>
      </c>
      <c r="V2" s="80">
        <f t="shared" si="0"/>
        <v>0.1</v>
      </c>
      <c r="W2" s="80">
        <f t="shared" si="0"/>
        <v>7.8</v>
      </c>
      <c r="X2" s="80">
        <f t="shared" si="0"/>
        <v>5.4</v>
      </c>
      <c r="Y2" s="80">
        <f t="shared" si="0"/>
        <v>23.4</v>
      </c>
      <c r="Z2" s="80">
        <f t="shared" si="0"/>
        <v>37.1</v>
      </c>
      <c r="AA2" s="81" t="str">
        <f>S2&amp;" &amp; "&amp;T2&amp;" &amp; "&amp;U2&amp;" &amp; "&amp;V2&amp;" &amp; "&amp;W2&amp;" &amp; "&amp;X2&amp;" &amp; "&amp;Y2&amp;" &amp; "&amp;Z2&amp;"\\"</f>
        <v>1H &amp; 1 &amp; -4.3 &amp; 0.1 &amp; 7.8 &amp; 5.4 &amp; 23.4 &amp; 37.1\\</v>
      </c>
      <c r="AF2" s="75" t="s">
        <v>193</v>
      </c>
    </row>
    <row r="3" spans="1:32" x14ac:dyDescent="0.3">
      <c r="A3" s="78" t="s">
        <v>77</v>
      </c>
      <c r="B3" s="79">
        <v>0.28460000000000002</v>
      </c>
      <c r="C3" s="79">
        <v>-1.6377999999999999</v>
      </c>
      <c r="D3" s="79">
        <v>0.84650000000000003</v>
      </c>
      <c r="E3" s="79">
        <v>2.6907999999999999</v>
      </c>
      <c r="F3" s="79">
        <v>2.3508</v>
      </c>
      <c r="G3" s="79">
        <v>21.723500000000001</v>
      </c>
      <c r="H3" s="79">
        <v>29.789300000000001</v>
      </c>
      <c r="S3" s="75" t="str">
        <f t="shared" ref="S3:S39" si="1">A3</f>
        <v>1M</v>
      </c>
      <c r="T3" s="80">
        <f t="shared" ref="T3:T39" si="2">ROUND(B3,1)</f>
        <v>0.3</v>
      </c>
      <c r="U3" s="80">
        <f t="shared" ref="U3:U39" si="3">ROUND(C3,1)</f>
        <v>-1.6</v>
      </c>
      <c r="V3" s="80">
        <f t="shared" ref="V3:V39" si="4">ROUND(D3,1)</f>
        <v>0.8</v>
      </c>
      <c r="W3" s="80">
        <f t="shared" ref="W3:W39" si="5">ROUND(E3,1)</f>
        <v>2.7</v>
      </c>
      <c r="X3" s="80">
        <f t="shared" ref="X3:X39" si="6">ROUND(F3,1)</f>
        <v>2.4</v>
      </c>
      <c r="Y3" s="80">
        <f t="shared" ref="Y3:Y39" si="7">ROUND(G3,1)</f>
        <v>21.7</v>
      </c>
      <c r="Z3" s="80">
        <f t="shared" ref="Z3:Z39" si="8">ROUND(H3,1)</f>
        <v>29.8</v>
      </c>
      <c r="AA3" s="81" t="str">
        <f t="shared" ref="AA3:AA39" si="9">S3&amp;" &amp; "&amp;T3&amp;" &amp; "&amp;U3&amp;" &amp; "&amp;V3&amp;" &amp; "&amp;W3&amp;" &amp; "&amp;X3&amp;" &amp; "&amp;Y3&amp;" &amp; "&amp;Z3&amp;"\\"</f>
        <v>1M &amp; 0.3 &amp; -1.6 &amp; 0.8 &amp; 2.7 &amp; 2.4 &amp; 21.7 &amp; 29.8\\</v>
      </c>
      <c r="AF3" s="75" t="s">
        <v>171</v>
      </c>
    </row>
    <row r="4" spans="1:32" x14ac:dyDescent="0.3">
      <c r="A4" s="78" t="s">
        <v>71</v>
      </c>
      <c r="B4" s="79">
        <v>-3.5200000000000002E-2</v>
      </c>
      <c r="C4" s="79">
        <v>-0.23849999999999999</v>
      </c>
      <c r="D4" s="79">
        <v>2.0295000000000001</v>
      </c>
      <c r="E4" s="79">
        <v>-2.5886999999999998</v>
      </c>
      <c r="F4" s="79">
        <v>2.4117999999999999</v>
      </c>
      <c r="G4" s="79">
        <v>20.722999999999999</v>
      </c>
      <c r="H4" s="79">
        <v>20.915700000000001</v>
      </c>
      <c r="S4" s="75" t="str">
        <f t="shared" si="1"/>
        <v>1L</v>
      </c>
      <c r="T4" s="80">
        <f t="shared" si="2"/>
        <v>0</v>
      </c>
      <c r="U4" s="80">
        <f t="shared" si="3"/>
        <v>-0.2</v>
      </c>
      <c r="V4" s="80">
        <f t="shared" si="4"/>
        <v>2</v>
      </c>
      <c r="W4" s="80">
        <f t="shared" si="5"/>
        <v>-2.6</v>
      </c>
      <c r="X4" s="80">
        <f t="shared" si="6"/>
        <v>2.4</v>
      </c>
      <c r="Y4" s="80">
        <f t="shared" si="7"/>
        <v>20.7</v>
      </c>
      <c r="Z4" s="80">
        <f t="shared" si="8"/>
        <v>20.9</v>
      </c>
      <c r="AA4" s="81" t="str">
        <f t="shared" si="9"/>
        <v>1L &amp; 0 &amp; -0.2 &amp; 2 &amp; -2.6 &amp; 2.4 &amp; 20.7 &amp; 20.9\\</v>
      </c>
      <c r="AF4" s="75" t="s">
        <v>194</v>
      </c>
    </row>
    <row r="5" spans="1:32" x14ac:dyDescent="0.3">
      <c r="A5" s="78">
        <v>2</v>
      </c>
      <c r="B5" s="79">
        <v>3.7290000000000001</v>
      </c>
      <c r="C5" s="79">
        <v>-9.4390000000000001</v>
      </c>
      <c r="D5" s="79">
        <v>-6.5552000000000001</v>
      </c>
      <c r="E5" s="79">
        <v>17.878799999999998</v>
      </c>
      <c r="F5" s="79">
        <v>16.838899999999999</v>
      </c>
      <c r="G5" s="79">
        <v>10.661</v>
      </c>
      <c r="H5" s="79">
        <v>5.6684999999999999</v>
      </c>
      <c r="S5" s="75">
        <f t="shared" si="1"/>
        <v>2</v>
      </c>
      <c r="T5" s="80">
        <f t="shared" si="2"/>
        <v>3.7</v>
      </c>
      <c r="U5" s="80">
        <f t="shared" si="3"/>
        <v>-9.4</v>
      </c>
      <c r="V5" s="80">
        <f t="shared" si="4"/>
        <v>-6.6</v>
      </c>
      <c r="W5" s="80">
        <f t="shared" si="5"/>
        <v>17.899999999999999</v>
      </c>
      <c r="X5" s="80">
        <f t="shared" si="6"/>
        <v>16.8</v>
      </c>
      <c r="Y5" s="80">
        <f t="shared" si="7"/>
        <v>10.7</v>
      </c>
      <c r="Z5" s="80">
        <f t="shared" si="8"/>
        <v>5.7</v>
      </c>
      <c r="AA5" s="81" t="str">
        <f t="shared" si="9"/>
        <v>2 &amp; 3.7 &amp; -9.4 &amp; -6.6 &amp; 17.9 &amp; 16.8 &amp; 10.7 &amp; 5.7\\</v>
      </c>
      <c r="AF5" s="75" t="s">
        <v>195</v>
      </c>
    </row>
    <row r="6" spans="1:32" x14ac:dyDescent="0.3">
      <c r="A6" s="78" t="s">
        <v>93</v>
      </c>
      <c r="B6" s="79">
        <v>0.27989999999999998</v>
      </c>
      <c r="C6" s="79">
        <v>-0.33710000000000001</v>
      </c>
      <c r="D6" s="79">
        <v>-0.66639999999999999</v>
      </c>
      <c r="E6" s="79">
        <v>0.62560000000000004</v>
      </c>
      <c r="F6" s="79">
        <v>7.0742000000000003</v>
      </c>
      <c r="G6" s="79">
        <v>15.568199999999999</v>
      </c>
      <c r="H6" s="79">
        <v>18.912700000000001</v>
      </c>
      <c r="S6" s="75" t="str">
        <f t="shared" si="1"/>
        <v>3H</v>
      </c>
      <c r="T6" s="80">
        <f t="shared" si="2"/>
        <v>0.3</v>
      </c>
      <c r="U6" s="80">
        <f t="shared" si="3"/>
        <v>-0.3</v>
      </c>
      <c r="V6" s="80">
        <f t="shared" si="4"/>
        <v>-0.7</v>
      </c>
      <c r="W6" s="80">
        <f t="shared" si="5"/>
        <v>0.6</v>
      </c>
      <c r="X6" s="80">
        <f t="shared" si="6"/>
        <v>7.1</v>
      </c>
      <c r="Y6" s="80">
        <f t="shared" si="7"/>
        <v>15.6</v>
      </c>
      <c r="Z6" s="80">
        <f t="shared" si="8"/>
        <v>18.899999999999999</v>
      </c>
      <c r="AA6" s="81" t="str">
        <f t="shared" si="9"/>
        <v>3H &amp; 0.3 &amp; -0.3 &amp; -0.7 &amp; 0.6 &amp; 7.1 &amp; 15.6 &amp; 18.9\\</v>
      </c>
      <c r="AF6" s="75" t="s">
        <v>172</v>
      </c>
    </row>
    <row r="7" spans="1:32" x14ac:dyDescent="0.3">
      <c r="A7" s="78" t="s">
        <v>94</v>
      </c>
      <c r="B7" s="79">
        <v>0.89529999999999998</v>
      </c>
      <c r="C7" s="79">
        <v>-1.8749</v>
      </c>
      <c r="D7" s="79">
        <v>-2.7799999999999998E-2</v>
      </c>
      <c r="E7" s="79">
        <v>2.3155999999999999</v>
      </c>
      <c r="F7" s="79">
        <v>3.4971000000000001</v>
      </c>
      <c r="G7" s="79">
        <v>7.3011999999999997</v>
      </c>
      <c r="H7" s="79">
        <v>11.2684</v>
      </c>
      <c r="S7" s="75" t="str">
        <f t="shared" si="1"/>
        <v>3M</v>
      </c>
      <c r="T7" s="80">
        <f t="shared" si="2"/>
        <v>0.9</v>
      </c>
      <c r="U7" s="80">
        <f t="shared" si="3"/>
        <v>-1.9</v>
      </c>
      <c r="V7" s="80">
        <f t="shared" si="4"/>
        <v>0</v>
      </c>
      <c r="W7" s="80">
        <f t="shared" si="5"/>
        <v>2.2999999999999998</v>
      </c>
      <c r="X7" s="80">
        <f t="shared" si="6"/>
        <v>3.5</v>
      </c>
      <c r="Y7" s="80">
        <f t="shared" si="7"/>
        <v>7.3</v>
      </c>
      <c r="Z7" s="80">
        <f t="shared" si="8"/>
        <v>11.3</v>
      </c>
      <c r="AA7" s="81" t="str">
        <f t="shared" si="9"/>
        <v>3M &amp; 0.9 &amp; -1.9 &amp; 0 &amp; 2.3 &amp; 3.5 &amp; 7.3 &amp; 11.3\\</v>
      </c>
      <c r="AF7" s="75" t="s">
        <v>196</v>
      </c>
    </row>
    <row r="8" spans="1:32" x14ac:dyDescent="0.3">
      <c r="A8" s="78" t="s">
        <v>95</v>
      </c>
      <c r="B8" s="79">
        <v>0.16669999999999999</v>
      </c>
      <c r="C8" s="79">
        <v>-0.32619999999999999</v>
      </c>
      <c r="D8" s="79">
        <v>5.1000000000000004E-3</v>
      </c>
      <c r="E8" s="79">
        <v>0.60099999999999998</v>
      </c>
      <c r="F8" s="79">
        <v>2.9813000000000001</v>
      </c>
      <c r="G8" s="79">
        <v>5.5506000000000002</v>
      </c>
      <c r="H8" s="79">
        <v>7.3013000000000003</v>
      </c>
      <c r="S8" s="75" t="str">
        <f t="shared" si="1"/>
        <v>3L</v>
      </c>
      <c r="T8" s="80">
        <f t="shared" si="2"/>
        <v>0.2</v>
      </c>
      <c r="U8" s="80">
        <f t="shared" si="3"/>
        <v>-0.3</v>
      </c>
      <c r="V8" s="80">
        <f t="shared" si="4"/>
        <v>0</v>
      </c>
      <c r="W8" s="80">
        <f t="shared" si="5"/>
        <v>0.6</v>
      </c>
      <c r="X8" s="80">
        <f t="shared" si="6"/>
        <v>3</v>
      </c>
      <c r="Y8" s="80">
        <f t="shared" si="7"/>
        <v>5.6</v>
      </c>
      <c r="Z8" s="80">
        <f t="shared" si="8"/>
        <v>7.3</v>
      </c>
      <c r="AA8" s="81" t="str">
        <f t="shared" si="9"/>
        <v>3L &amp; 0.2 &amp; -0.3 &amp; 0 &amp; 0.6 &amp; 3 &amp; 5.6 &amp; 7.3\\</v>
      </c>
      <c r="AF8" s="75" t="s">
        <v>197</v>
      </c>
    </row>
    <row r="9" spans="1:32" x14ac:dyDescent="0.3">
      <c r="A9" s="78" t="s">
        <v>96</v>
      </c>
      <c r="B9" s="79">
        <v>1.0133000000000001</v>
      </c>
      <c r="C9" s="79">
        <v>-0.87980000000000003</v>
      </c>
      <c r="D9" s="79">
        <v>-1.228</v>
      </c>
      <c r="E9" s="79">
        <v>2.0293000000000001</v>
      </c>
      <c r="F9" s="79">
        <v>6.9912000000000001</v>
      </c>
      <c r="G9" s="79">
        <v>27.041799999999999</v>
      </c>
      <c r="H9" s="79">
        <v>32.530299999999997</v>
      </c>
      <c r="S9" s="75" t="str">
        <f t="shared" si="1"/>
        <v>4H</v>
      </c>
      <c r="T9" s="80">
        <f t="shared" si="2"/>
        <v>1</v>
      </c>
      <c r="U9" s="80">
        <f t="shared" si="3"/>
        <v>-0.9</v>
      </c>
      <c r="V9" s="80">
        <f t="shared" si="4"/>
        <v>-1.2</v>
      </c>
      <c r="W9" s="80">
        <f t="shared" si="5"/>
        <v>2</v>
      </c>
      <c r="X9" s="80">
        <f t="shared" si="6"/>
        <v>7</v>
      </c>
      <c r="Y9" s="80">
        <f t="shared" si="7"/>
        <v>27</v>
      </c>
      <c r="Z9" s="80">
        <f t="shared" si="8"/>
        <v>32.5</v>
      </c>
      <c r="AA9" s="81" t="str">
        <f t="shared" si="9"/>
        <v>4H &amp; 1 &amp; -0.9 &amp; -1.2 &amp; 2 &amp; 7 &amp; 27 &amp; 32.5\\</v>
      </c>
      <c r="AF9" s="75" t="s">
        <v>198</v>
      </c>
    </row>
    <row r="10" spans="1:32" x14ac:dyDescent="0.3">
      <c r="A10" s="78" t="s">
        <v>97</v>
      </c>
      <c r="B10" s="79">
        <v>0.83479999999999999</v>
      </c>
      <c r="C10" s="79">
        <v>-1.3199000000000001</v>
      </c>
      <c r="D10" s="79">
        <v>-0.2722</v>
      </c>
      <c r="E10" s="79">
        <v>1.1938</v>
      </c>
      <c r="F10" s="79">
        <v>7.95</v>
      </c>
      <c r="G10" s="79">
        <v>21.4132</v>
      </c>
      <c r="H10" s="79">
        <v>18.758500000000002</v>
      </c>
      <c r="S10" s="75" t="str">
        <f t="shared" si="1"/>
        <v>4M</v>
      </c>
      <c r="T10" s="80">
        <f t="shared" si="2"/>
        <v>0.8</v>
      </c>
      <c r="U10" s="80">
        <f t="shared" si="3"/>
        <v>-1.3</v>
      </c>
      <c r="V10" s="80">
        <f t="shared" si="4"/>
        <v>-0.3</v>
      </c>
      <c r="W10" s="80">
        <f t="shared" si="5"/>
        <v>1.2</v>
      </c>
      <c r="X10" s="80">
        <f t="shared" si="6"/>
        <v>8</v>
      </c>
      <c r="Y10" s="80">
        <f t="shared" si="7"/>
        <v>21.4</v>
      </c>
      <c r="Z10" s="80">
        <f t="shared" si="8"/>
        <v>18.8</v>
      </c>
      <c r="AA10" s="81" t="str">
        <f t="shared" si="9"/>
        <v>4M &amp; 0.8 &amp; -1.3 &amp; -0.3 &amp; 1.2 &amp; 8 &amp; 21.4 &amp; 18.8\\</v>
      </c>
      <c r="AF10" s="75" t="s">
        <v>199</v>
      </c>
    </row>
    <row r="11" spans="1:32" x14ac:dyDescent="0.3">
      <c r="A11" s="78" t="s">
        <v>98</v>
      </c>
      <c r="B11" s="79">
        <v>0.29849999999999999</v>
      </c>
      <c r="C11" s="79">
        <v>-0.28610000000000002</v>
      </c>
      <c r="D11" s="79">
        <v>-0.2949</v>
      </c>
      <c r="E11" s="79">
        <v>0.65100000000000002</v>
      </c>
      <c r="F11" s="79">
        <v>6.4873000000000003</v>
      </c>
      <c r="G11" s="79">
        <v>13.461</v>
      </c>
      <c r="H11" s="79">
        <v>9.2604000000000006</v>
      </c>
      <c r="S11" s="75" t="str">
        <f t="shared" si="1"/>
        <v>4L</v>
      </c>
      <c r="T11" s="80">
        <f t="shared" si="2"/>
        <v>0.3</v>
      </c>
      <c r="U11" s="80">
        <f t="shared" si="3"/>
        <v>-0.3</v>
      </c>
      <c r="V11" s="80">
        <f t="shared" si="4"/>
        <v>-0.3</v>
      </c>
      <c r="W11" s="80">
        <f t="shared" si="5"/>
        <v>0.7</v>
      </c>
      <c r="X11" s="80">
        <f t="shared" si="6"/>
        <v>6.5</v>
      </c>
      <c r="Y11" s="80">
        <f t="shared" si="7"/>
        <v>13.5</v>
      </c>
      <c r="Z11" s="80">
        <f t="shared" si="8"/>
        <v>9.3000000000000007</v>
      </c>
      <c r="AA11" s="81" t="str">
        <f t="shared" si="9"/>
        <v>4L &amp; 0.3 &amp; -0.3 &amp; -0.3 &amp; 0.7 &amp; 6.5 &amp; 13.5 &amp; 9.3\\</v>
      </c>
      <c r="AF11" s="75" t="s">
        <v>173</v>
      </c>
    </row>
    <row r="12" spans="1:32" x14ac:dyDescent="0.3">
      <c r="A12" s="78" t="s">
        <v>74</v>
      </c>
      <c r="B12" s="79">
        <v>0.28189999999999998</v>
      </c>
      <c r="C12" s="79">
        <v>-0.23280000000000001</v>
      </c>
      <c r="D12" s="79">
        <v>-0.92569999999999997</v>
      </c>
      <c r="E12" s="79">
        <v>1.5971</v>
      </c>
      <c r="F12" s="79">
        <v>6.7812000000000001</v>
      </c>
      <c r="G12" s="79">
        <v>18.576000000000001</v>
      </c>
      <c r="H12" s="79">
        <v>25.613099999999999</v>
      </c>
      <c r="S12" s="75" t="str">
        <f t="shared" si="1"/>
        <v>5H</v>
      </c>
      <c r="T12" s="80">
        <f t="shared" si="2"/>
        <v>0.3</v>
      </c>
      <c r="U12" s="80">
        <f t="shared" si="3"/>
        <v>-0.2</v>
      </c>
      <c r="V12" s="80">
        <f t="shared" si="4"/>
        <v>-0.9</v>
      </c>
      <c r="W12" s="80">
        <f t="shared" si="5"/>
        <v>1.6</v>
      </c>
      <c r="X12" s="80">
        <f t="shared" si="6"/>
        <v>6.8</v>
      </c>
      <c r="Y12" s="80">
        <f t="shared" si="7"/>
        <v>18.600000000000001</v>
      </c>
      <c r="Z12" s="80">
        <f t="shared" si="8"/>
        <v>25.6</v>
      </c>
      <c r="AA12" s="81" t="str">
        <f t="shared" si="9"/>
        <v>5H &amp; 0.3 &amp; -0.2 &amp; -0.9 &amp; 1.6 &amp; 6.8 &amp; 18.6 &amp; 25.6\\</v>
      </c>
      <c r="AF12" s="75" t="s">
        <v>174</v>
      </c>
    </row>
    <row r="13" spans="1:32" x14ac:dyDescent="0.3">
      <c r="A13" s="78" t="s">
        <v>99</v>
      </c>
      <c r="B13" s="79">
        <v>0.15570000000000001</v>
      </c>
      <c r="C13" s="79">
        <v>-9.9599999999999994E-2</v>
      </c>
      <c r="D13" s="79">
        <v>0.2727</v>
      </c>
      <c r="E13" s="79">
        <v>-0.94179999999999997</v>
      </c>
      <c r="F13" s="79">
        <v>7.0555000000000003</v>
      </c>
      <c r="G13" s="79">
        <v>18.747199999999999</v>
      </c>
      <c r="H13" s="79">
        <v>15.1097</v>
      </c>
      <c r="S13" s="75" t="str">
        <f t="shared" si="1"/>
        <v>5M</v>
      </c>
      <c r="T13" s="80">
        <f t="shared" si="2"/>
        <v>0.2</v>
      </c>
      <c r="U13" s="80">
        <f t="shared" si="3"/>
        <v>-0.1</v>
      </c>
      <c r="V13" s="80">
        <f t="shared" si="4"/>
        <v>0.3</v>
      </c>
      <c r="W13" s="80">
        <f t="shared" si="5"/>
        <v>-0.9</v>
      </c>
      <c r="X13" s="80">
        <f t="shared" si="6"/>
        <v>7.1</v>
      </c>
      <c r="Y13" s="80">
        <f t="shared" si="7"/>
        <v>18.7</v>
      </c>
      <c r="Z13" s="80">
        <f t="shared" si="8"/>
        <v>15.1</v>
      </c>
      <c r="AA13" s="81" t="str">
        <f t="shared" si="9"/>
        <v>5M &amp; 0.2 &amp; -0.1 &amp; 0.3 &amp; -0.9 &amp; 7.1 &amp; 18.7 &amp; 15.1\\</v>
      </c>
      <c r="AF13" s="75" t="s">
        <v>175</v>
      </c>
    </row>
    <row r="14" spans="1:32" x14ac:dyDescent="0.3">
      <c r="A14" s="78" t="s">
        <v>83</v>
      </c>
      <c r="B14" s="79">
        <v>-0.18540000000000001</v>
      </c>
      <c r="C14" s="79">
        <v>0.92410000000000003</v>
      </c>
      <c r="D14" s="79">
        <v>-0.52180000000000004</v>
      </c>
      <c r="E14" s="79">
        <v>-1.9359999999999999</v>
      </c>
      <c r="F14" s="79">
        <v>8.2301000000000002</v>
      </c>
      <c r="G14" s="79">
        <v>14.632999999999999</v>
      </c>
      <c r="H14" s="79">
        <v>5.9349999999999996</v>
      </c>
      <c r="S14" s="75" t="str">
        <f t="shared" si="1"/>
        <v>5L</v>
      </c>
      <c r="T14" s="80">
        <f t="shared" si="2"/>
        <v>-0.2</v>
      </c>
      <c r="U14" s="80">
        <f t="shared" si="3"/>
        <v>0.9</v>
      </c>
      <c r="V14" s="80">
        <f t="shared" si="4"/>
        <v>-0.5</v>
      </c>
      <c r="W14" s="80">
        <f t="shared" si="5"/>
        <v>-1.9</v>
      </c>
      <c r="X14" s="80">
        <f t="shared" si="6"/>
        <v>8.1999999999999993</v>
      </c>
      <c r="Y14" s="80">
        <f t="shared" si="7"/>
        <v>14.6</v>
      </c>
      <c r="Z14" s="80">
        <f t="shared" si="8"/>
        <v>5.9</v>
      </c>
      <c r="AA14" s="81" t="str">
        <f t="shared" si="9"/>
        <v>5L &amp; -0.2 &amp; 0.9 &amp; -0.5 &amp; -1.9 &amp; 8.2 &amp; 14.6 &amp; 5.9\\</v>
      </c>
      <c r="AF14" s="75" t="s">
        <v>176</v>
      </c>
    </row>
    <row r="15" spans="1:32" x14ac:dyDescent="0.3">
      <c r="A15" s="78">
        <v>6</v>
      </c>
      <c r="B15" s="79">
        <v>2.306</v>
      </c>
      <c r="C15" s="79">
        <v>-7.8476999999999997</v>
      </c>
      <c r="D15" s="79">
        <v>0.20399999999999999</v>
      </c>
      <c r="E15" s="79">
        <v>12.492699999999999</v>
      </c>
      <c r="F15" s="79">
        <v>5.3810000000000002</v>
      </c>
      <c r="G15" s="79">
        <v>7.3484999999999996</v>
      </c>
      <c r="H15" s="79">
        <v>5.3757000000000001</v>
      </c>
      <c r="S15" s="75">
        <f t="shared" si="1"/>
        <v>6</v>
      </c>
      <c r="T15" s="80">
        <f t="shared" si="2"/>
        <v>2.2999999999999998</v>
      </c>
      <c r="U15" s="80">
        <f t="shared" si="3"/>
        <v>-7.8</v>
      </c>
      <c r="V15" s="80">
        <f t="shared" si="4"/>
        <v>0.2</v>
      </c>
      <c r="W15" s="80">
        <f t="shared" si="5"/>
        <v>12.5</v>
      </c>
      <c r="X15" s="80">
        <f t="shared" si="6"/>
        <v>5.4</v>
      </c>
      <c r="Y15" s="80">
        <f t="shared" si="7"/>
        <v>7.3</v>
      </c>
      <c r="Z15" s="80">
        <f t="shared" si="8"/>
        <v>5.4</v>
      </c>
      <c r="AA15" s="81" t="str">
        <f t="shared" si="9"/>
        <v>6 &amp; 2.3 &amp; -7.8 &amp; 0.2 &amp; 12.5 &amp; 5.4 &amp; 7.3 &amp; 5.4\\</v>
      </c>
      <c r="AF15" s="75" t="s">
        <v>177</v>
      </c>
    </row>
    <row r="16" spans="1:32" x14ac:dyDescent="0.3">
      <c r="A16" s="78" t="s">
        <v>100</v>
      </c>
      <c r="B16" s="79">
        <v>0.1409</v>
      </c>
      <c r="C16" s="79">
        <v>-0.17130000000000001</v>
      </c>
      <c r="D16" s="79">
        <v>-2.2324000000000002</v>
      </c>
      <c r="E16" s="79">
        <v>-0.45519999999999999</v>
      </c>
      <c r="F16" s="79">
        <v>14.7637</v>
      </c>
      <c r="G16" s="79">
        <v>27.331800000000001</v>
      </c>
      <c r="H16" s="79">
        <v>15.2606</v>
      </c>
      <c r="S16" s="75" t="str">
        <f t="shared" si="1"/>
        <v>7H</v>
      </c>
      <c r="T16" s="80">
        <f t="shared" si="2"/>
        <v>0.1</v>
      </c>
      <c r="U16" s="80">
        <f t="shared" si="3"/>
        <v>-0.2</v>
      </c>
      <c r="V16" s="80">
        <f t="shared" si="4"/>
        <v>-2.2000000000000002</v>
      </c>
      <c r="W16" s="80">
        <f t="shared" si="5"/>
        <v>-0.5</v>
      </c>
      <c r="X16" s="80">
        <f t="shared" si="6"/>
        <v>14.8</v>
      </c>
      <c r="Y16" s="80">
        <f t="shared" si="7"/>
        <v>27.3</v>
      </c>
      <c r="Z16" s="80">
        <f t="shared" si="8"/>
        <v>15.3</v>
      </c>
      <c r="AA16" s="81" t="str">
        <f t="shared" si="9"/>
        <v>7H &amp; 0.1 &amp; -0.2 &amp; -2.2 &amp; -0.5 &amp; 14.8 &amp; 27.3 &amp; 15.3\\</v>
      </c>
      <c r="AF16" s="75" t="s">
        <v>178</v>
      </c>
    </row>
    <row r="17" spans="1:32" x14ac:dyDescent="0.3">
      <c r="A17" s="78" t="s">
        <v>101</v>
      </c>
      <c r="B17" s="79">
        <v>0.4083</v>
      </c>
      <c r="C17" s="79">
        <v>-0.1845</v>
      </c>
      <c r="D17" s="79">
        <v>-3.5918999999999999</v>
      </c>
      <c r="E17" s="79">
        <v>-4.1000000000000003E-3</v>
      </c>
      <c r="F17" s="79">
        <v>13.335100000000001</v>
      </c>
      <c r="G17" s="79">
        <v>19.116099999999999</v>
      </c>
      <c r="H17" s="79">
        <v>9.0251999999999999</v>
      </c>
      <c r="S17" s="75" t="str">
        <f t="shared" si="1"/>
        <v>7M</v>
      </c>
      <c r="T17" s="80">
        <f t="shared" si="2"/>
        <v>0.4</v>
      </c>
      <c r="U17" s="80">
        <f t="shared" si="3"/>
        <v>-0.2</v>
      </c>
      <c r="V17" s="80">
        <f t="shared" si="4"/>
        <v>-3.6</v>
      </c>
      <c r="W17" s="80">
        <f t="shared" si="5"/>
        <v>0</v>
      </c>
      <c r="X17" s="80">
        <f t="shared" si="6"/>
        <v>13.3</v>
      </c>
      <c r="Y17" s="80">
        <f t="shared" si="7"/>
        <v>19.100000000000001</v>
      </c>
      <c r="Z17" s="80">
        <f t="shared" si="8"/>
        <v>9</v>
      </c>
      <c r="AA17" s="81" t="str">
        <f t="shared" si="9"/>
        <v>7M &amp; 0.4 &amp; -0.2 &amp; -3.6 &amp; 0 &amp; 13.3 &amp; 19.1 &amp; 9\\</v>
      </c>
      <c r="AF17" s="75" t="s">
        <v>208</v>
      </c>
    </row>
    <row r="18" spans="1:32" x14ac:dyDescent="0.3">
      <c r="A18" s="78" t="s">
        <v>102</v>
      </c>
      <c r="B18" s="79">
        <v>-8.5400000000000004E-2</v>
      </c>
      <c r="C18" s="79">
        <v>0.30730000000000002</v>
      </c>
      <c r="D18" s="79">
        <v>-0.69340000000000002</v>
      </c>
      <c r="E18" s="79">
        <v>-0.31790000000000002</v>
      </c>
      <c r="F18" s="79">
        <v>6.3891999999999998</v>
      </c>
      <c r="G18" s="79">
        <v>7.9764999999999997</v>
      </c>
      <c r="H18" s="79">
        <v>2.4355000000000002</v>
      </c>
      <c r="S18" s="75" t="str">
        <f t="shared" si="1"/>
        <v>7L</v>
      </c>
      <c r="T18" s="80">
        <f t="shared" si="2"/>
        <v>-0.1</v>
      </c>
      <c r="U18" s="80">
        <f t="shared" si="3"/>
        <v>0.3</v>
      </c>
      <c r="V18" s="80">
        <f t="shared" si="4"/>
        <v>-0.7</v>
      </c>
      <c r="W18" s="80">
        <f t="shared" si="5"/>
        <v>-0.3</v>
      </c>
      <c r="X18" s="80">
        <f t="shared" si="6"/>
        <v>6.4</v>
      </c>
      <c r="Y18" s="80">
        <f t="shared" si="7"/>
        <v>8</v>
      </c>
      <c r="Z18" s="80">
        <f t="shared" si="8"/>
        <v>2.4</v>
      </c>
      <c r="AA18" s="81" t="str">
        <f t="shared" si="9"/>
        <v>7L &amp; -0.1 &amp; 0.3 &amp; -0.7 &amp; -0.3 &amp; 6.4 &amp; 8 &amp; 2.4\\</v>
      </c>
      <c r="AF18" s="75" t="s">
        <v>200</v>
      </c>
    </row>
    <row r="19" spans="1:32" x14ac:dyDescent="0.3">
      <c r="A19" s="78" t="s">
        <v>82</v>
      </c>
      <c r="B19" s="79">
        <v>0.65639999999999998</v>
      </c>
      <c r="C19" s="79">
        <v>-3.2484000000000002</v>
      </c>
      <c r="D19" s="79">
        <v>0.80840000000000001</v>
      </c>
      <c r="E19" s="79">
        <v>6.1036000000000001</v>
      </c>
      <c r="F19" s="79">
        <v>9.4522999999999993</v>
      </c>
      <c r="G19" s="79">
        <v>20.121200000000002</v>
      </c>
      <c r="H19" s="79">
        <v>19.951899999999998</v>
      </c>
      <c r="S19" s="75" t="str">
        <f t="shared" si="1"/>
        <v>8H</v>
      </c>
      <c r="T19" s="80">
        <f t="shared" si="2"/>
        <v>0.7</v>
      </c>
      <c r="U19" s="80">
        <f t="shared" si="3"/>
        <v>-3.2</v>
      </c>
      <c r="V19" s="80">
        <f t="shared" si="4"/>
        <v>0.8</v>
      </c>
      <c r="W19" s="80">
        <f t="shared" si="5"/>
        <v>6.1</v>
      </c>
      <c r="X19" s="80">
        <f t="shared" si="6"/>
        <v>9.5</v>
      </c>
      <c r="Y19" s="80">
        <f t="shared" si="7"/>
        <v>20.100000000000001</v>
      </c>
      <c r="Z19" s="80">
        <f t="shared" si="8"/>
        <v>20</v>
      </c>
      <c r="AA19" s="81" t="str">
        <f t="shared" si="9"/>
        <v>8H &amp; 0.7 &amp; -3.2 &amp; 0.8 &amp; 6.1 &amp; 9.5 &amp; 20.1 &amp; 20\\</v>
      </c>
      <c r="AF19" s="75" t="s">
        <v>201</v>
      </c>
    </row>
    <row r="20" spans="1:32" x14ac:dyDescent="0.3">
      <c r="A20" s="78" t="s">
        <v>75</v>
      </c>
      <c r="B20" s="79">
        <v>1.1344000000000001</v>
      </c>
      <c r="C20" s="79">
        <v>-4.9649999999999999</v>
      </c>
      <c r="D20" s="79">
        <v>1.5397000000000001</v>
      </c>
      <c r="E20" s="79">
        <v>9.0188000000000006</v>
      </c>
      <c r="F20" s="79">
        <v>6.8463000000000003</v>
      </c>
      <c r="G20" s="79">
        <v>11.8545</v>
      </c>
      <c r="H20" s="79">
        <v>10.965</v>
      </c>
      <c r="S20" s="75" t="str">
        <f t="shared" si="1"/>
        <v>8M</v>
      </c>
      <c r="T20" s="80">
        <f t="shared" si="2"/>
        <v>1.1000000000000001</v>
      </c>
      <c r="U20" s="80">
        <f t="shared" si="3"/>
        <v>-5</v>
      </c>
      <c r="V20" s="80">
        <f t="shared" si="4"/>
        <v>1.5</v>
      </c>
      <c r="W20" s="80">
        <f t="shared" si="5"/>
        <v>9</v>
      </c>
      <c r="X20" s="80">
        <f t="shared" si="6"/>
        <v>6.8</v>
      </c>
      <c r="Y20" s="80">
        <f t="shared" si="7"/>
        <v>11.9</v>
      </c>
      <c r="Z20" s="80">
        <f t="shared" si="8"/>
        <v>11</v>
      </c>
      <c r="AA20" s="81" t="str">
        <f t="shared" si="9"/>
        <v>8M &amp; 1.1 &amp; -5 &amp; 1.5 &amp; 9 &amp; 6.8 &amp; 11.9 &amp; 11\\</v>
      </c>
      <c r="AF20" s="75" t="s">
        <v>202</v>
      </c>
    </row>
    <row r="21" spans="1:32" x14ac:dyDescent="0.3">
      <c r="A21" s="78" t="s">
        <v>72</v>
      </c>
      <c r="B21" s="79">
        <v>1.6641999999999999</v>
      </c>
      <c r="C21" s="79">
        <v>-5.5721999999999996</v>
      </c>
      <c r="D21" s="79">
        <v>-0.48870000000000002</v>
      </c>
      <c r="E21" s="79">
        <v>10.900600000000001</v>
      </c>
      <c r="F21" s="79">
        <v>7.1562999999999999</v>
      </c>
      <c r="G21" s="79">
        <v>4.7831000000000001</v>
      </c>
      <c r="H21" s="79">
        <v>4.9100999999999999</v>
      </c>
      <c r="S21" s="75" t="str">
        <f t="shared" si="1"/>
        <v>8L</v>
      </c>
      <c r="T21" s="80">
        <f t="shared" si="2"/>
        <v>1.7</v>
      </c>
      <c r="U21" s="80">
        <f t="shared" si="3"/>
        <v>-5.6</v>
      </c>
      <c r="V21" s="80">
        <f t="shared" si="4"/>
        <v>-0.5</v>
      </c>
      <c r="W21" s="80">
        <f t="shared" si="5"/>
        <v>10.9</v>
      </c>
      <c r="X21" s="80">
        <f t="shared" si="6"/>
        <v>7.2</v>
      </c>
      <c r="Y21" s="80">
        <f t="shared" si="7"/>
        <v>4.8</v>
      </c>
      <c r="Z21" s="80">
        <f t="shared" si="8"/>
        <v>4.9000000000000004</v>
      </c>
      <c r="AA21" s="81" t="str">
        <f t="shared" si="9"/>
        <v>8L &amp; 1.7 &amp; -5.6 &amp; -0.5 &amp; 10.9 &amp; 7.2 &amp; 4.8 &amp; 4.9\\</v>
      </c>
      <c r="AF21" s="75" t="s">
        <v>179</v>
      </c>
    </row>
    <row r="22" spans="1:32" x14ac:dyDescent="0.3">
      <c r="A22" s="78">
        <v>9</v>
      </c>
      <c r="B22" s="79">
        <v>1.8568</v>
      </c>
      <c r="C22" s="79">
        <v>-6.3098000000000001</v>
      </c>
      <c r="D22" s="79">
        <v>-8.09E-2</v>
      </c>
      <c r="E22" s="79">
        <v>10.876200000000001</v>
      </c>
      <c r="F22" s="79">
        <v>4.0673000000000004</v>
      </c>
      <c r="G22" s="79">
        <v>2.3816000000000002</v>
      </c>
      <c r="H22" s="79">
        <v>3.9921000000000002</v>
      </c>
      <c r="S22" s="75">
        <f t="shared" si="1"/>
        <v>9</v>
      </c>
      <c r="T22" s="80">
        <f t="shared" si="2"/>
        <v>1.9</v>
      </c>
      <c r="U22" s="80">
        <f t="shared" si="3"/>
        <v>-6.3</v>
      </c>
      <c r="V22" s="80">
        <f t="shared" si="4"/>
        <v>-0.1</v>
      </c>
      <c r="W22" s="80">
        <f t="shared" si="5"/>
        <v>10.9</v>
      </c>
      <c r="X22" s="80">
        <f t="shared" si="6"/>
        <v>4.0999999999999996</v>
      </c>
      <c r="Y22" s="80">
        <f t="shared" si="7"/>
        <v>2.4</v>
      </c>
      <c r="Z22" s="80">
        <f t="shared" si="8"/>
        <v>4</v>
      </c>
      <c r="AA22" s="81" t="str">
        <f t="shared" si="9"/>
        <v>9 &amp; 1.9 &amp; -6.3 &amp; -0.1 &amp; 10.9 &amp; 4.1 &amp; 2.4 &amp; 4\\</v>
      </c>
      <c r="AF22" s="75" t="s">
        <v>203</v>
      </c>
    </row>
    <row r="23" spans="1:32" x14ac:dyDescent="0.3">
      <c r="A23" s="78" t="s">
        <v>76</v>
      </c>
      <c r="B23" s="79">
        <v>4.2099999999999999E-2</v>
      </c>
      <c r="C23" s="79">
        <v>-8.8200000000000001E-2</v>
      </c>
      <c r="D23" s="79">
        <v>-0.8599</v>
      </c>
      <c r="E23" s="79">
        <v>4.5857999999999999</v>
      </c>
      <c r="F23" s="79">
        <v>10.3271</v>
      </c>
      <c r="G23" s="79">
        <v>9.2238000000000007</v>
      </c>
      <c r="H23" s="79">
        <v>19.005800000000001</v>
      </c>
      <c r="S23" s="75" t="str">
        <f t="shared" si="1"/>
        <v>10H</v>
      </c>
      <c r="T23" s="80">
        <f t="shared" si="2"/>
        <v>0</v>
      </c>
      <c r="U23" s="80">
        <f t="shared" si="3"/>
        <v>-0.1</v>
      </c>
      <c r="V23" s="80">
        <f t="shared" si="4"/>
        <v>-0.9</v>
      </c>
      <c r="W23" s="80">
        <f t="shared" si="5"/>
        <v>4.5999999999999996</v>
      </c>
      <c r="X23" s="80">
        <f t="shared" si="6"/>
        <v>10.3</v>
      </c>
      <c r="Y23" s="80">
        <f t="shared" si="7"/>
        <v>9.1999999999999993</v>
      </c>
      <c r="Z23" s="80">
        <f t="shared" si="8"/>
        <v>19</v>
      </c>
      <c r="AA23" s="81" t="str">
        <f t="shared" si="9"/>
        <v>10H &amp; 0 &amp; -0.1 &amp; -0.9 &amp; 4.6 &amp; 10.3 &amp; 9.2 &amp; 19\\</v>
      </c>
      <c r="AF23" s="75" t="s">
        <v>204</v>
      </c>
    </row>
    <row r="24" spans="1:32" x14ac:dyDescent="0.3">
      <c r="A24" s="78" t="s">
        <v>70</v>
      </c>
      <c r="B24" s="79">
        <v>0.46279999999999999</v>
      </c>
      <c r="C24" s="79">
        <v>-1.8633999999999999</v>
      </c>
      <c r="D24" s="79">
        <v>0.55269999999999997</v>
      </c>
      <c r="E24" s="79">
        <v>5.1501999999999999</v>
      </c>
      <c r="F24" s="79">
        <v>6.4669999999999996</v>
      </c>
      <c r="G24" s="79">
        <v>7.2038000000000002</v>
      </c>
      <c r="H24" s="79">
        <v>9.5449999999999999</v>
      </c>
      <c r="S24" s="75" t="str">
        <f t="shared" si="1"/>
        <v>10M</v>
      </c>
      <c r="T24" s="80">
        <f t="shared" si="2"/>
        <v>0.5</v>
      </c>
      <c r="U24" s="80">
        <f t="shared" si="3"/>
        <v>-1.9</v>
      </c>
      <c r="V24" s="80">
        <f t="shared" si="4"/>
        <v>0.6</v>
      </c>
      <c r="W24" s="80">
        <f t="shared" si="5"/>
        <v>5.2</v>
      </c>
      <c r="X24" s="80">
        <f t="shared" si="6"/>
        <v>6.5</v>
      </c>
      <c r="Y24" s="80">
        <f t="shared" si="7"/>
        <v>7.2</v>
      </c>
      <c r="Z24" s="80">
        <f t="shared" si="8"/>
        <v>9.5</v>
      </c>
      <c r="AA24" s="81" t="str">
        <f t="shared" si="9"/>
        <v>10M &amp; 0.5 &amp; -1.9 &amp; 0.6 &amp; 5.2 &amp; 6.5 &amp; 7.2 &amp; 9.5\\</v>
      </c>
      <c r="AF24" s="75" t="s">
        <v>180</v>
      </c>
    </row>
    <row r="25" spans="1:32" x14ac:dyDescent="0.3">
      <c r="A25" s="78" t="s">
        <v>68</v>
      </c>
      <c r="B25" s="79">
        <v>0.45950000000000002</v>
      </c>
      <c r="C25" s="79">
        <v>-1.2923</v>
      </c>
      <c r="D25" s="79">
        <v>-0.35589999999999999</v>
      </c>
      <c r="E25" s="79">
        <v>3.3974000000000002</v>
      </c>
      <c r="F25" s="79">
        <v>4.4074999999999998</v>
      </c>
      <c r="G25" s="79">
        <v>4.1749000000000001</v>
      </c>
      <c r="H25" s="79">
        <v>3.6097000000000001</v>
      </c>
      <c r="S25" s="75" t="str">
        <f t="shared" si="1"/>
        <v>10L</v>
      </c>
      <c r="T25" s="80">
        <f t="shared" si="2"/>
        <v>0.5</v>
      </c>
      <c r="U25" s="80">
        <f t="shared" si="3"/>
        <v>-1.3</v>
      </c>
      <c r="V25" s="80">
        <f t="shared" si="4"/>
        <v>-0.4</v>
      </c>
      <c r="W25" s="80">
        <f t="shared" si="5"/>
        <v>3.4</v>
      </c>
      <c r="X25" s="80">
        <f t="shared" si="6"/>
        <v>4.4000000000000004</v>
      </c>
      <c r="Y25" s="80">
        <f t="shared" si="7"/>
        <v>4.2</v>
      </c>
      <c r="Z25" s="80">
        <f t="shared" si="8"/>
        <v>3.6</v>
      </c>
      <c r="AA25" s="81" t="str">
        <f t="shared" si="9"/>
        <v>10L &amp; 0.5 &amp; -1.3 &amp; -0.4 &amp; 3.4 &amp; 4.4 &amp; 4.2 &amp; 3.6\\</v>
      </c>
      <c r="AF25" s="75" t="s">
        <v>181</v>
      </c>
    </row>
    <row r="26" spans="1:32" x14ac:dyDescent="0.3">
      <c r="A26" s="78">
        <v>11</v>
      </c>
      <c r="B26" s="79">
        <v>0.40179999999999999</v>
      </c>
      <c r="C26" s="79">
        <v>-1.2896000000000001</v>
      </c>
      <c r="D26" s="79">
        <v>-2.7699999999999999E-2</v>
      </c>
      <c r="E26" s="79">
        <v>3.5775999999999999</v>
      </c>
      <c r="F26" s="79">
        <v>5.9016999999999999</v>
      </c>
      <c r="G26" s="79">
        <v>5.1718999999999999</v>
      </c>
      <c r="H26" s="79">
        <v>2.9708000000000001</v>
      </c>
      <c r="S26" s="75">
        <f t="shared" si="1"/>
        <v>11</v>
      </c>
      <c r="T26" s="80">
        <f t="shared" si="2"/>
        <v>0.4</v>
      </c>
      <c r="U26" s="80">
        <f t="shared" si="3"/>
        <v>-1.3</v>
      </c>
      <c r="V26" s="80">
        <f t="shared" si="4"/>
        <v>0</v>
      </c>
      <c r="W26" s="80">
        <f t="shared" si="5"/>
        <v>3.6</v>
      </c>
      <c r="X26" s="80">
        <f t="shared" si="6"/>
        <v>5.9</v>
      </c>
      <c r="Y26" s="80">
        <f t="shared" si="7"/>
        <v>5.2</v>
      </c>
      <c r="Z26" s="80">
        <f t="shared" si="8"/>
        <v>3</v>
      </c>
      <c r="AA26" s="81" t="str">
        <f t="shared" si="9"/>
        <v>11 &amp; 0.4 &amp; -1.3 &amp; 0 &amp; 3.6 &amp; 5.9 &amp; 5.2 &amp; 3\\</v>
      </c>
      <c r="AF26" s="75" t="s">
        <v>205</v>
      </c>
    </row>
    <row r="27" spans="1:32" x14ac:dyDescent="0.3">
      <c r="A27" s="78" t="s">
        <v>30</v>
      </c>
      <c r="B27" s="79">
        <v>-0.24160000000000001</v>
      </c>
      <c r="C27" s="79">
        <v>3.5341</v>
      </c>
      <c r="D27" s="79">
        <v>-8.0848999999999993</v>
      </c>
      <c r="E27" s="79">
        <v>-5.9203000000000001</v>
      </c>
      <c r="F27" s="79">
        <v>20.283799999999999</v>
      </c>
      <c r="G27" s="79">
        <v>25.9176</v>
      </c>
      <c r="H27" s="79">
        <v>16.848700000000001</v>
      </c>
      <c r="S27" s="75" t="str">
        <f t="shared" si="1"/>
        <v>12H</v>
      </c>
      <c r="T27" s="80">
        <f t="shared" si="2"/>
        <v>-0.2</v>
      </c>
      <c r="U27" s="80">
        <f t="shared" si="3"/>
        <v>3.5</v>
      </c>
      <c r="V27" s="80">
        <f t="shared" si="4"/>
        <v>-8.1</v>
      </c>
      <c r="W27" s="80">
        <f t="shared" si="5"/>
        <v>-5.9</v>
      </c>
      <c r="X27" s="80">
        <f t="shared" si="6"/>
        <v>20.3</v>
      </c>
      <c r="Y27" s="80">
        <f t="shared" si="7"/>
        <v>25.9</v>
      </c>
      <c r="Z27" s="80">
        <f t="shared" si="8"/>
        <v>16.8</v>
      </c>
      <c r="AA27" s="81" t="str">
        <f t="shared" si="9"/>
        <v>12H &amp; -0.2 &amp; 3.5 &amp; -8.1 &amp; -5.9 &amp; 20.3 &amp; 25.9 &amp; 16.8\\</v>
      </c>
      <c r="AF27" s="75" t="s">
        <v>182</v>
      </c>
    </row>
    <row r="28" spans="1:32" x14ac:dyDescent="0.3">
      <c r="A28" s="78" t="s">
        <v>73</v>
      </c>
      <c r="B28" s="79">
        <v>-0.84819999999999995</v>
      </c>
      <c r="C28" s="79">
        <v>1.9215</v>
      </c>
      <c r="D28" s="79">
        <v>1.4665999999999999</v>
      </c>
      <c r="E28" s="79">
        <v>-1.4242999999999999</v>
      </c>
      <c r="F28" s="79">
        <v>3.3403</v>
      </c>
      <c r="G28" s="79">
        <v>7.7336</v>
      </c>
      <c r="H28" s="79">
        <v>8.4057999999999993</v>
      </c>
      <c r="S28" s="75" t="str">
        <f t="shared" si="1"/>
        <v>12M</v>
      </c>
      <c r="T28" s="80">
        <f t="shared" si="2"/>
        <v>-0.8</v>
      </c>
      <c r="U28" s="80">
        <f t="shared" si="3"/>
        <v>1.9</v>
      </c>
      <c r="V28" s="80">
        <f t="shared" si="4"/>
        <v>1.5</v>
      </c>
      <c r="W28" s="80">
        <f t="shared" si="5"/>
        <v>-1.4</v>
      </c>
      <c r="X28" s="80">
        <f t="shared" si="6"/>
        <v>3.3</v>
      </c>
      <c r="Y28" s="80">
        <f t="shared" si="7"/>
        <v>7.7</v>
      </c>
      <c r="Z28" s="80">
        <f t="shared" si="8"/>
        <v>8.4</v>
      </c>
      <c r="AA28" s="81" t="str">
        <f t="shared" si="9"/>
        <v>12M &amp; -0.8 &amp; 1.9 &amp; 1.5 &amp; -1.4 &amp; 3.3 &amp; 7.7 &amp; 8.4\\</v>
      </c>
      <c r="AF28" s="75" t="s">
        <v>183</v>
      </c>
    </row>
    <row r="29" spans="1:32" x14ac:dyDescent="0.3">
      <c r="A29" s="78" t="s">
        <v>69</v>
      </c>
      <c r="B29" s="79">
        <v>0.12670000000000001</v>
      </c>
      <c r="C29" s="79">
        <v>-0.44009999999999999</v>
      </c>
      <c r="D29" s="79">
        <v>0.1119</v>
      </c>
      <c r="E29" s="79">
        <v>1.4282999999999999</v>
      </c>
      <c r="F29" s="79">
        <v>2.6027</v>
      </c>
      <c r="G29" s="79">
        <v>3.2408999999999999</v>
      </c>
      <c r="H29" s="79">
        <v>2.9091</v>
      </c>
      <c r="S29" s="75" t="str">
        <f t="shared" si="1"/>
        <v>12L</v>
      </c>
      <c r="T29" s="80">
        <f t="shared" si="2"/>
        <v>0.1</v>
      </c>
      <c r="U29" s="80">
        <f t="shared" si="3"/>
        <v>-0.4</v>
      </c>
      <c r="V29" s="80">
        <f t="shared" si="4"/>
        <v>0.1</v>
      </c>
      <c r="W29" s="80">
        <f t="shared" si="5"/>
        <v>1.4</v>
      </c>
      <c r="X29" s="80">
        <f t="shared" si="6"/>
        <v>2.6</v>
      </c>
      <c r="Y29" s="80">
        <f t="shared" si="7"/>
        <v>3.2</v>
      </c>
      <c r="Z29" s="80">
        <f t="shared" si="8"/>
        <v>2.9</v>
      </c>
      <c r="AA29" s="81" t="str">
        <f t="shared" si="9"/>
        <v>12L &amp; 0.1 &amp; -0.4 &amp; 0.1 &amp; 1.4 &amp; 2.6 &amp; 3.2 &amp; 2.9\\</v>
      </c>
      <c r="AF29" s="75" t="s">
        <v>184</v>
      </c>
    </row>
    <row r="30" spans="1:32" x14ac:dyDescent="0.3">
      <c r="A30" s="78" t="s">
        <v>81</v>
      </c>
      <c r="B30" s="79">
        <v>0.1633</v>
      </c>
      <c r="C30" s="79">
        <v>-0.32440000000000002</v>
      </c>
      <c r="D30" s="79">
        <v>0.60599999999999998</v>
      </c>
      <c r="E30" s="79">
        <v>1.5728</v>
      </c>
      <c r="F30" s="79">
        <v>5.3465999999999996</v>
      </c>
      <c r="G30" s="79">
        <v>19.5322</v>
      </c>
      <c r="H30" s="79">
        <v>34.493400000000001</v>
      </c>
      <c r="S30" s="75" t="str">
        <f t="shared" si="1"/>
        <v>13H</v>
      </c>
      <c r="T30" s="80">
        <f t="shared" si="2"/>
        <v>0.2</v>
      </c>
      <c r="U30" s="80">
        <f t="shared" si="3"/>
        <v>-0.3</v>
      </c>
      <c r="V30" s="80">
        <f t="shared" si="4"/>
        <v>0.6</v>
      </c>
      <c r="W30" s="80">
        <f t="shared" si="5"/>
        <v>1.6</v>
      </c>
      <c r="X30" s="80">
        <f t="shared" si="6"/>
        <v>5.3</v>
      </c>
      <c r="Y30" s="80">
        <f t="shared" si="7"/>
        <v>19.5</v>
      </c>
      <c r="Z30" s="80">
        <f t="shared" si="8"/>
        <v>34.5</v>
      </c>
      <c r="AA30" s="81" t="str">
        <f t="shared" si="9"/>
        <v>13H &amp; 0.2 &amp; -0.3 &amp; 0.6 &amp; 1.6 &amp; 5.3 &amp; 19.5 &amp; 34.5\\</v>
      </c>
      <c r="AF30" s="75" t="s">
        <v>185</v>
      </c>
    </row>
    <row r="31" spans="1:32" x14ac:dyDescent="0.3">
      <c r="A31" s="78" t="s">
        <v>79</v>
      </c>
      <c r="B31" s="79">
        <v>0.1555</v>
      </c>
      <c r="C31" s="79">
        <v>4.4000000000000003E-3</v>
      </c>
      <c r="D31" s="79">
        <v>-0.25819999999999999</v>
      </c>
      <c r="E31" s="79">
        <v>0.52329999999999999</v>
      </c>
      <c r="F31" s="79">
        <v>3.8698999999999999</v>
      </c>
      <c r="G31" s="79">
        <v>14.930899999999999</v>
      </c>
      <c r="H31" s="79">
        <v>24.3569</v>
      </c>
      <c r="S31" s="75" t="str">
        <f t="shared" si="1"/>
        <v>13M</v>
      </c>
      <c r="T31" s="80">
        <f t="shared" si="2"/>
        <v>0.2</v>
      </c>
      <c r="U31" s="80">
        <f t="shared" si="3"/>
        <v>0</v>
      </c>
      <c r="V31" s="80">
        <f t="shared" si="4"/>
        <v>-0.3</v>
      </c>
      <c r="W31" s="80">
        <f t="shared" si="5"/>
        <v>0.5</v>
      </c>
      <c r="X31" s="80">
        <f t="shared" si="6"/>
        <v>3.9</v>
      </c>
      <c r="Y31" s="80">
        <f t="shared" si="7"/>
        <v>14.9</v>
      </c>
      <c r="Z31" s="80">
        <f t="shared" si="8"/>
        <v>24.4</v>
      </c>
      <c r="AA31" s="81" t="str">
        <f t="shared" si="9"/>
        <v>13M &amp; 0.2 &amp; 0 &amp; -0.3 &amp; 0.5 &amp; 3.9 &amp; 14.9 &amp; 24.4\\</v>
      </c>
      <c r="AF31" s="75" t="s">
        <v>206</v>
      </c>
    </row>
    <row r="32" spans="1:32" x14ac:dyDescent="0.3">
      <c r="A32" s="78" t="s">
        <v>80</v>
      </c>
      <c r="B32" s="79">
        <v>0.10730000000000001</v>
      </c>
      <c r="C32" s="79">
        <v>-0.35149999999999998</v>
      </c>
      <c r="D32" s="79">
        <v>0.1696</v>
      </c>
      <c r="E32" s="79">
        <v>1.2355</v>
      </c>
      <c r="F32" s="79">
        <v>2.8443999999999998</v>
      </c>
      <c r="G32" s="79">
        <v>9.1395999999999997</v>
      </c>
      <c r="H32" s="79">
        <v>15.3218</v>
      </c>
      <c r="S32" s="75" t="str">
        <f t="shared" si="1"/>
        <v>13L</v>
      </c>
      <c r="T32" s="80">
        <f t="shared" si="2"/>
        <v>0.1</v>
      </c>
      <c r="U32" s="80">
        <f t="shared" si="3"/>
        <v>-0.4</v>
      </c>
      <c r="V32" s="80">
        <f t="shared" si="4"/>
        <v>0.2</v>
      </c>
      <c r="W32" s="80">
        <f t="shared" si="5"/>
        <v>1.2</v>
      </c>
      <c r="X32" s="80">
        <f t="shared" si="6"/>
        <v>2.8</v>
      </c>
      <c r="Y32" s="80">
        <f t="shared" si="7"/>
        <v>9.1</v>
      </c>
      <c r="Z32" s="80">
        <f t="shared" si="8"/>
        <v>15.3</v>
      </c>
      <c r="AA32" s="81" t="str">
        <f t="shared" si="9"/>
        <v>13L &amp; 0.1 &amp; -0.4 &amp; 0.2 &amp; 1.2 &amp; 2.8 &amp; 9.1 &amp; 15.3\\</v>
      </c>
      <c r="AF32" s="75" t="s">
        <v>186</v>
      </c>
    </row>
    <row r="33" spans="1:32" x14ac:dyDescent="0.3">
      <c r="A33" s="78" t="s">
        <v>103</v>
      </c>
      <c r="B33" s="79">
        <v>0.13980000000000001</v>
      </c>
      <c r="C33" s="79">
        <v>-0.60470000000000002</v>
      </c>
      <c r="D33" s="79">
        <v>0.63839999999999997</v>
      </c>
      <c r="E33" s="79">
        <v>0.81220000000000003</v>
      </c>
      <c r="F33" s="79">
        <v>4.4188000000000001</v>
      </c>
      <c r="G33" s="79">
        <v>19.581900000000001</v>
      </c>
      <c r="H33" s="79">
        <v>24.888000000000002</v>
      </c>
      <c r="S33" s="75" t="str">
        <f t="shared" si="1"/>
        <v>14H</v>
      </c>
      <c r="T33" s="80">
        <f t="shared" si="2"/>
        <v>0.1</v>
      </c>
      <c r="U33" s="80">
        <f t="shared" si="3"/>
        <v>-0.6</v>
      </c>
      <c r="V33" s="80">
        <f t="shared" si="4"/>
        <v>0.6</v>
      </c>
      <c r="W33" s="80">
        <f t="shared" si="5"/>
        <v>0.8</v>
      </c>
      <c r="X33" s="80">
        <f t="shared" si="6"/>
        <v>4.4000000000000004</v>
      </c>
      <c r="Y33" s="80">
        <f t="shared" si="7"/>
        <v>19.600000000000001</v>
      </c>
      <c r="Z33" s="80">
        <f t="shared" si="8"/>
        <v>24.9</v>
      </c>
      <c r="AA33" s="81" t="str">
        <f t="shared" si="9"/>
        <v>14H &amp; 0.1 &amp; -0.6 &amp; 0.6 &amp; 0.8 &amp; 4.4 &amp; 19.6 &amp; 24.9\\</v>
      </c>
      <c r="AF33" s="75" t="s">
        <v>187</v>
      </c>
    </row>
    <row r="34" spans="1:32" x14ac:dyDescent="0.3">
      <c r="A34" s="78" t="s">
        <v>104</v>
      </c>
      <c r="B34" s="79">
        <v>2.9700000000000001E-2</v>
      </c>
      <c r="C34" s="79">
        <v>0.45900000000000002</v>
      </c>
      <c r="D34" s="79">
        <v>-0.4304</v>
      </c>
      <c r="E34" s="79">
        <v>-1.2899</v>
      </c>
      <c r="F34" s="79">
        <v>5.2099000000000002</v>
      </c>
      <c r="G34" s="79">
        <v>14.584300000000001</v>
      </c>
      <c r="H34" s="79">
        <v>14.788399999999999</v>
      </c>
      <c r="S34" s="75" t="str">
        <f t="shared" si="1"/>
        <v>14M</v>
      </c>
      <c r="T34" s="80">
        <f t="shared" si="2"/>
        <v>0</v>
      </c>
      <c r="U34" s="80">
        <f t="shared" si="3"/>
        <v>0.5</v>
      </c>
      <c r="V34" s="80">
        <f t="shared" si="4"/>
        <v>-0.4</v>
      </c>
      <c r="W34" s="80">
        <f t="shared" si="5"/>
        <v>-1.3</v>
      </c>
      <c r="X34" s="80">
        <f t="shared" si="6"/>
        <v>5.2</v>
      </c>
      <c r="Y34" s="80">
        <f t="shared" si="7"/>
        <v>14.6</v>
      </c>
      <c r="Z34" s="80">
        <f t="shared" si="8"/>
        <v>14.8</v>
      </c>
      <c r="AA34" s="81" t="str">
        <f t="shared" si="9"/>
        <v>14M &amp; 0 &amp; 0.5 &amp; -0.4 &amp; -1.3 &amp; 5.2 &amp; 14.6 &amp; 14.8\\</v>
      </c>
      <c r="AF34" s="75" t="s">
        <v>207</v>
      </c>
    </row>
    <row r="35" spans="1:32" x14ac:dyDescent="0.3">
      <c r="A35" s="78" t="s">
        <v>105</v>
      </c>
      <c r="B35" s="79">
        <v>0.13719999999999999</v>
      </c>
      <c r="C35" s="79">
        <v>-0.59499999999999997</v>
      </c>
      <c r="D35" s="79">
        <v>0.222</v>
      </c>
      <c r="E35" s="79">
        <v>1.2364999999999999</v>
      </c>
      <c r="F35" s="79">
        <v>3.4621</v>
      </c>
      <c r="G35" s="79">
        <v>7.4725999999999999</v>
      </c>
      <c r="H35" s="79">
        <v>6.6036000000000001</v>
      </c>
      <c r="S35" s="75" t="str">
        <f t="shared" si="1"/>
        <v>14L</v>
      </c>
      <c r="T35" s="80">
        <f t="shared" si="2"/>
        <v>0.1</v>
      </c>
      <c r="U35" s="80">
        <f t="shared" si="3"/>
        <v>-0.6</v>
      </c>
      <c r="V35" s="80">
        <f t="shared" si="4"/>
        <v>0.2</v>
      </c>
      <c r="W35" s="80">
        <f t="shared" si="5"/>
        <v>1.2</v>
      </c>
      <c r="X35" s="80">
        <f t="shared" si="6"/>
        <v>3.5</v>
      </c>
      <c r="Y35" s="80">
        <f t="shared" si="7"/>
        <v>7.5</v>
      </c>
      <c r="Z35" s="80">
        <f t="shared" si="8"/>
        <v>6.6</v>
      </c>
      <c r="AA35" s="81" t="str">
        <f t="shared" si="9"/>
        <v>14L &amp; 0.1 &amp; -0.6 &amp; 0.2 &amp; 1.2 &amp; 3.5 &amp; 7.5 &amp; 6.6\\</v>
      </c>
      <c r="AF35" s="75" t="s">
        <v>188</v>
      </c>
    </row>
    <row r="36" spans="1:32" x14ac:dyDescent="0.3">
      <c r="A36" s="78">
        <v>15</v>
      </c>
      <c r="B36" s="79">
        <v>3.0897000000000001</v>
      </c>
      <c r="C36" s="79">
        <v>-7.9218999999999999</v>
      </c>
      <c r="D36" s="79">
        <v>-6.2603999999999997</v>
      </c>
      <c r="E36" s="79">
        <v>14.124499999999999</v>
      </c>
      <c r="F36" s="79">
        <v>19.482299999999999</v>
      </c>
      <c r="G36" s="79">
        <v>16.547999999999998</v>
      </c>
      <c r="H36" s="79">
        <v>11.778700000000001</v>
      </c>
      <c r="S36" s="75">
        <f t="shared" si="1"/>
        <v>15</v>
      </c>
      <c r="T36" s="80">
        <f t="shared" si="2"/>
        <v>3.1</v>
      </c>
      <c r="U36" s="80">
        <f t="shared" si="3"/>
        <v>-7.9</v>
      </c>
      <c r="V36" s="80">
        <f t="shared" si="4"/>
        <v>-6.3</v>
      </c>
      <c r="W36" s="80">
        <f t="shared" si="5"/>
        <v>14.1</v>
      </c>
      <c r="X36" s="80">
        <f t="shared" si="6"/>
        <v>19.5</v>
      </c>
      <c r="Y36" s="80">
        <f t="shared" si="7"/>
        <v>16.5</v>
      </c>
      <c r="Z36" s="80">
        <f t="shared" si="8"/>
        <v>11.8</v>
      </c>
      <c r="AA36" s="81" t="str">
        <f t="shared" si="9"/>
        <v>15 &amp; 3.1 &amp; -7.9 &amp; -6.3 &amp; 14.1 &amp; 19.5 &amp; 16.5 &amp; 11.8\\</v>
      </c>
      <c r="AF36" s="75" t="s">
        <v>189</v>
      </c>
    </row>
    <row r="37" spans="1:32" x14ac:dyDescent="0.3">
      <c r="A37" s="78" t="s">
        <v>106</v>
      </c>
      <c r="B37" s="79">
        <v>-0.27310000000000001</v>
      </c>
      <c r="C37" s="79">
        <v>0.66320000000000001</v>
      </c>
      <c r="D37" s="79">
        <v>-0.72319999999999995</v>
      </c>
      <c r="E37" s="79">
        <v>2.6472000000000002</v>
      </c>
      <c r="F37" s="79">
        <v>9.3909000000000002</v>
      </c>
      <c r="G37" s="79">
        <v>10.8171</v>
      </c>
      <c r="H37" s="79">
        <v>33.551000000000002</v>
      </c>
      <c r="S37" s="75" t="str">
        <f t="shared" si="1"/>
        <v>16H</v>
      </c>
      <c r="T37" s="80">
        <f t="shared" si="2"/>
        <v>-0.3</v>
      </c>
      <c r="U37" s="80">
        <f t="shared" si="3"/>
        <v>0.7</v>
      </c>
      <c r="V37" s="80">
        <f t="shared" si="4"/>
        <v>-0.7</v>
      </c>
      <c r="W37" s="80">
        <f t="shared" si="5"/>
        <v>2.6</v>
      </c>
      <c r="X37" s="80">
        <f t="shared" si="6"/>
        <v>9.4</v>
      </c>
      <c r="Y37" s="80">
        <f t="shared" si="7"/>
        <v>10.8</v>
      </c>
      <c r="Z37" s="80">
        <f t="shared" si="8"/>
        <v>33.6</v>
      </c>
      <c r="AA37" s="81" t="str">
        <f t="shared" si="9"/>
        <v>16H &amp; -0.3 &amp; 0.7 &amp; -0.7 &amp; 2.6 &amp; 9.4 &amp; 10.8 &amp; 33.6\\</v>
      </c>
      <c r="AF37" s="75" t="s">
        <v>190</v>
      </c>
    </row>
    <row r="38" spans="1:32" x14ac:dyDescent="0.3">
      <c r="A38" s="78" t="s">
        <v>107</v>
      </c>
      <c r="B38" s="79">
        <v>0.21970000000000001</v>
      </c>
      <c r="C38" s="79">
        <v>-0.63219999999999998</v>
      </c>
      <c r="D38" s="79">
        <v>-1.0649999999999999</v>
      </c>
      <c r="E38" s="79">
        <v>4.2873000000000001</v>
      </c>
      <c r="F38" s="79">
        <v>8.5055999999999994</v>
      </c>
      <c r="G38" s="79">
        <v>8.2310999999999996</v>
      </c>
      <c r="H38" s="79">
        <v>14.1233</v>
      </c>
      <c r="S38" s="75" t="str">
        <f t="shared" si="1"/>
        <v>16M</v>
      </c>
      <c r="T38" s="80">
        <f t="shared" si="2"/>
        <v>0.2</v>
      </c>
      <c r="U38" s="80">
        <f t="shared" si="3"/>
        <v>-0.6</v>
      </c>
      <c r="V38" s="80">
        <f t="shared" si="4"/>
        <v>-1.1000000000000001</v>
      </c>
      <c r="W38" s="80">
        <f t="shared" si="5"/>
        <v>4.3</v>
      </c>
      <c r="X38" s="80">
        <f t="shared" si="6"/>
        <v>8.5</v>
      </c>
      <c r="Y38" s="80">
        <f t="shared" si="7"/>
        <v>8.1999999999999993</v>
      </c>
      <c r="Z38" s="80">
        <f t="shared" si="8"/>
        <v>14.1</v>
      </c>
      <c r="AA38" s="81" t="str">
        <f t="shared" si="9"/>
        <v>16M &amp; 0.2 &amp; -0.6 &amp; -1.1 &amp; 4.3 &amp; 8.5 &amp; 8.2 &amp; 14.1\\</v>
      </c>
      <c r="AF38" s="75" t="s">
        <v>191</v>
      </c>
    </row>
    <row r="39" spans="1:32" ht="16.2" thickBot="1" x14ac:dyDescent="0.35">
      <c r="A39" s="82" t="s">
        <v>108</v>
      </c>
      <c r="B39" s="83">
        <v>7.85E-2</v>
      </c>
      <c r="C39" s="83">
        <v>-0.31019999999999998</v>
      </c>
      <c r="D39" s="83">
        <v>-0.37580000000000002</v>
      </c>
      <c r="E39" s="83">
        <v>2.4584999999999999</v>
      </c>
      <c r="F39" s="83">
        <v>5.9474</v>
      </c>
      <c r="G39" s="83">
        <v>5.4401000000000002</v>
      </c>
      <c r="H39" s="83">
        <v>3.3079000000000001</v>
      </c>
      <c r="S39" s="75" t="str">
        <f t="shared" si="1"/>
        <v>16L</v>
      </c>
      <c r="T39" s="80">
        <f t="shared" si="2"/>
        <v>0.1</v>
      </c>
      <c r="U39" s="80">
        <f t="shared" si="3"/>
        <v>-0.3</v>
      </c>
      <c r="V39" s="80">
        <f t="shared" si="4"/>
        <v>-0.4</v>
      </c>
      <c r="W39" s="80">
        <f t="shared" si="5"/>
        <v>2.5</v>
      </c>
      <c r="X39" s="80">
        <f t="shared" si="6"/>
        <v>5.9</v>
      </c>
      <c r="Y39" s="80">
        <f t="shared" si="7"/>
        <v>5.4</v>
      </c>
      <c r="Z39" s="80">
        <f t="shared" si="8"/>
        <v>3.3</v>
      </c>
      <c r="AA39" s="81" t="str">
        <f t="shared" si="9"/>
        <v>16L &amp; 0.1 &amp; -0.3 &amp; -0.4 &amp; 2.5 &amp; 5.9 &amp; 5.4 &amp; 3.3\\</v>
      </c>
      <c r="AF39" s="75" t="s">
        <v>192</v>
      </c>
    </row>
    <row r="40" spans="1:32" x14ac:dyDescent="0.3">
      <c r="A40" s="84" t="s">
        <v>109</v>
      </c>
      <c r="B40" s="85"/>
      <c r="C40" s="85"/>
      <c r="D40" s="85"/>
      <c r="E40" s="85"/>
      <c r="F40" s="85">
        <v>1E-4</v>
      </c>
      <c r="G40" s="85">
        <v>0.99270000000000003</v>
      </c>
      <c r="H40" s="86">
        <v>-0.1578</v>
      </c>
    </row>
    <row r="41" spans="1:32" x14ac:dyDescent="0.3">
      <c r="A41" s="87" t="s">
        <v>110</v>
      </c>
      <c r="B41" s="79"/>
      <c r="C41" s="79"/>
      <c r="D41" s="79"/>
      <c r="E41" s="79"/>
      <c r="F41" s="79">
        <v>-1.1000000000000001E-3</v>
      </c>
      <c r="G41" s="79">
        <v>0.85519999999999996</v>
      </c>
      <c r="H41" s="88">
        <v>-6.8650000000000002</v>
      </c>
    </row>
    <row r="42" spans="1:32" x14ac:dyDescent="0.3">
      <c r="A42" s="87" t="s">
        <v>111</v>
      </c>
      <c r="B42" s="79"/>
      <c r="C42" s="79"/>
      <c r="D42" s="79"/>
      <c r="E42" s="79"/>
      <c r="F42" s="79">
        <v>-1.5E-3</v>
      </c>
      <c r="G42" s="79">
        <v>0.87829999999999997</v>
      </c>
      <c r="H42" s="88">
        <v>-11.096299999999999</v>
      </c>
    </row>
    <row r="43" spans="1:32" x14ac:dyDescent="0.3">
      <c r="A43" s="87" t="s">
        <v>112</v>
      </c>
      <c r="B43" s="79"/>
      <c r="C43" s="79"/>
      <c r="D43" s="79"/>
      <c r="E43" s="79"/>
      <c r="F43" s="79">
        <v>-1.4E-3</v>
      </c>
      <c r="G43" s="79">
        <v>0.80910000000000004</v>
      </c>
      <c r="H43" s="88">
        <v>-14.587999999999999</v>
      </c>
    </row>
    <row r="44" spans="1:32" ht="16.2" thickBot="1" x14ac:dyDescent="0.35">
      <c r="A44" s="89" t="s">
        <v>113</v>
      </c>
      <c r="B44" s="90"/>
      <c r="C44" s="90"/>
      <c r="D44" s="90"/>
      <c r="E44" s="90"/>
      <c r="F44" s="90">
        <v>-1.9E-3</v>
      </c>
      <c r="G44" s="90">
        <v>0.86350000000000005</v>
      </c>
      <c r="H44" s="91">
        <v>-15.907299999999999</v>
      </c>
    </row>
  </sheetData>
  <sheetProtection algorithmName="SHA-512" hashValue="MKqQt3ZqVU+FgclqtyXDc5Y4M+Rle9hhZTSJTxJd0oOhPtcjdfkiKxcO6wHP0OaVCJA35/YKPxgKluSkTGv5Lw==" saltValue="1ffPdgTOvf1mRKyifHJEO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3"/>
  <sheetViews>
    <sheetView workbookViewId="0">
      <selection sqref="A1:XFD1048576"/>
    </sheetView>
  </sheetViews>
  <sheetFormatPr defaultRowHeight="15.6" x14ac:dyDescent="0.3"/>
  <cols>
    <col min="1" max="4" width="8.88671875" style="71"/>
    <col min="5" max="5" width="9.33203125" style="71" bestFit="1" customWidth="1"/>
    <col min="6" max="16384" width="8.88671875" style="71"/>
  </cols>
  <sheetData>
    <row r="1" spans="1:5" x14ac:dyDescent="0.3">
      <c r="A1" s="70"/>
      <c r="B1" s="70"/>
      <c r="E1" s="72" t="s">
        <v>121</v>
      </c>
    </row>
    <row r="2" spans="1:5" ht="18" x14ac:dyDescent="0.35">
      <c r="A2" s="73"/>
      <c r="B2" s="74"/>
      <c r="E2">
        <v>7.36</v>
      </c>
    </row>
    <row r="3" spans="1:5" ht="18" x14ac:dyDescent="0.35">
      <c r="A3" s="73"/>
      <c r="B3" s="74"/>
      <c r="E3"/>
    </row>
    <row r="4" spans="1:5" ht="18" x14ac:dyDescent="0.35">
      <c r="A4" s="73"/>
      <c r="B4" s="74"/>
      <c r="E4"/>
    </row>
    <row r="5" spans="1:5" ht="18" x14ac:dyDescent="0.35">
      <c r="A5" s="73"/>
      <c r="B5" s="74"/>
      <c r="E5"/>
    </row>
    <row r="6" spans="1:5" ht="18" x14ac:dyDescent="0.35">
      <c r="A6" s="73"/>
      <c r="B6" s="74"/>
      <c r="E6"/>
    </row>
    <row r="7" spans="1:5" ht="18" x14ac:dyDescent="0.35">
      <c r="A7" s="73"/>
      <c r="B7" s="74"/>
      <c r="E7"/>
    </row>
    <row r="8" spans="1:5" ht="18" x14ac:dyDescent="0.35">
      <c r="A8" s="73"/>
      <c r="B8" s="74"/>
      <c r="E8"/>
    </row>
    <row r="9" spans="1:5" ht="18" x14ac:dyDescent="0.35">
      <c r="A9" s="73"/>
      <c r="B9" s="74"/>
      <c r="E9"/>
    </row>
    <row r="10" spans="1:5" ht="18" x14ac:dyDescent="0.35">
      <c r="A10" s="73"/>
      <c r="B10" s="74"/>
      <c r="E10"/>
    </row>
    <row r="11" spans="1:5" ht="18" x14ac:dyDescent="0.35">
      <c r="A11" s="73"/>
      <c r="B11" s="74"/>
      <c r="E11"/>
    </row>
    <row r="12" spans="1:5" ht="18" x14ac:dyDescent="0.35">
      <c r="A12" s="73"/>
      <c r="B12" s="74"/>
      <c r="E12"/>
    </row>
    <row r="13" spans="1:5" ht="18" x14ac:dyDescent="0.35">
      <c r="A13" s="73"/>
      <c r="B13" s="74"/>
      <c r="E13"/>
    </row>
    <row r="14" spans="1:5" ht="18" x14ac:dyDescent="0.35">
      <c r="A14" s="73"/>
      <c r="B14" s="74"/>
      <c r="E14"/>
    </row>
    <row r="15" spans="1:5" ht="18" x14ac:dyDescent="0.35">
      <c r="A15" s="73"/>
      <c r="B15" s="74"/>
      <c r="E15"/>
    </row>
    <row r="16" spans="1:5" ht="18" x14ac:dyDescent="0.35">
      <c r="A16" s="73"/>
      <c r="B16" s="74"/>
    </row>
    <row r="17" spans="1:2" ht="18" x14ac:dyDescent="0.35">
      <c r="A17" s="73"/>
      <c r="B17" s="74"/>
    </row>
    <row r="18" spans="1:2" ht="18" x14ac:dyDescent="0.35">
      <c r="A18" s="73"/>
      <c r="B18" s="74"/>
    </row>
    <row r="19" spans="1:2" ht="18" x14ac:dyDescent="0.35">
      <c r="A19" s="73"/>
      <c r="B19" s="74"/>
    </row>
    <row r="20" spans="1:2" ht="18" x14ac:dyDescent="0.35">
      <c r="A20" s="73"/>
      <c r="B20" s="74"/>
    </row>
    <row r="21" spans="1:2" ht="18" x14ac:dyDescent="0.35">
      <c r="A21" s="73"/>
      <c r="B21" s="74"/>
    </row>
    <row r="22" spans="1:2" ht="18" x14ac:dyDescent="0.35">
      <c r="A22" s="73"/>
      <c r="B22" s="74"/>
    </row>
    <row r="23" spans="1:2" ht="18" x14ac:dyDescent="0.35">
      <c r="A23" s="73"/>
      <c r="B23" s="74"/>
    </row>
    <row r="24" spans="1:2" ht="18" x14ac:dyDescent="0.35">
      <c r="A24" s="73"/>
      <c r="B24" s="74"/>
    </row>
    <row r="25" spans="1:2" ht="18" x14ac:dyDescent="0.35">
      <c r="A25" s="73"/>
      <c r="B25" s="74"/>
    </row>
    <row r="26" spans="1:2" ht="18" x14ac:dyDescent="0.35">
      <c r="A26" s="73"/>
      <c r="B26" s="74"/>
    </row>
    <row r="27" spans="1:2" ht="18" x14ac:dyDescent="0.35">
      <c r="A27" s="73"/>
      <c r="B27" s="74"/>
    </row>
    <row r="28" spans="1:2" ht="18" x14ac:dyDescent="0.35">
      <c r="A28" s="73"/>
      <c r="B28" s="74"/>
    </row>
    <row r="29" spans="1:2" ht="18" x14ac:dyDescent="0.35">
      <c r="A29" s="73"/>
      <c r="B29" s="74"/>
    </row>
    <row r="30" spans="1:2" ht="18" x14ac:dyDescent="0.35">
      <c r="A30" s="73"/>
      <c r="B30" s="74"/>
    </row>
    <row r="31" spans="1:2" ht="18" x14ac:dyDescent="0.35">
      <c r="A31" s="73"/>
      <c r="B31" s="74"/>
    </row>
    <row r="32" spans="1:2" ht="18" x14ac:dyDescent="0.35">
      <c r="A32" s="73"/>
      <c r="B32" s="74"/>
    </row>
    <row r="33" spans="1:2" ht="18" x14ac:dyDescent="0.35">
      <c r="A33" s="73"/>
      <c r="B33" s="74"/>
    </row>
    <row r="34" spans="1:2" ht="18" x14ac:dyDescent="0.35">
      <c r="A34" s="73"/>
      <c r="B34" s="74"/>
    </row>
    <row r="35" spans="1:2" ht="18" x14ac:dyDescent="0.35">
      <c r="A35" s="73"/>
      <c r="B35" s="74"/>
    </row>
    <row r="36" spans="1:2" ht="18" x14ac:dyDescent="0.35">
      <c r="A36" s="73"/>
      <c r="B36" s="74"/>
    </row>
    <row r="37" spans="1:2" ht="18" x14ac:dyDescent="0.35">
      <c r="A37" s="73"/>
      <c r="B37" s="74"/>
    </row>
    <row r="38" spans="1:2" ht="18" x14ac:dyDescent="0.35">
      <c r="A38" s="73"/>
      <c r="B38" s="74"/>
    </row>
    <row r="39" spans="1:2" ht="18" x14ac:dyDescent="0.35">
      <c r="A39" s="73"/>
      <c r="B39" s="74"/>
    </row>
    <row r="40" spans="1:2" ht="18" x14ac:dyDescent="0.35">
      <c r="A40" s="73"/>
      <c r="B40" s="74"/>
    </row>
    <row r="41" spans="1:2" ht="18" x14ac:dyDescent="0.35">
      <c r="A41" s="73"/>
      <c r="B41" s="74"/>
    </row>
    <row r="42" spans="1:2" ht="18" x14ac:dyDescent="0.35">
      <c r="A42" s="73"/>
      <c r="B42" s="74"/>
    </row>
    <row r="43" spans="1:2" ht="18" x14ac:dyDescent="0.35">
      <c r="A43" s="73"/>
      <c r="B43" s="74"/>
    </row>
    <row r="44" spans="1:2" ht="18" x14ac:dyDescent="0.35">
      <c r="A44" s="73"/>
      <c r="B44" s="74"/>
    </row>
    <row r="45" spans="1:2" ht="18" x14ac:dyDescent="0.35">
      <c r="A45" s="73"/>
      <c r="B45" s="74"/>
    </row>
    <row r="46" spans="1:2" ht="18" x14ac:dyDescent="0.35">
      <c r="A46" s="73"/>
      <c r="B46" s="74"/>
    </row>
    <row r="47" spans="1:2" ht="18" x14ac:dyDescent="0.35">
      <c r="A47" s="73"/>
      <c r="B47" s="74"/>
    </row>
    <row r="48" spans="1:2" ht="18" x14ac:dyDescent="0.35">
      <c r="A48" s="73"/>
      <c r="B48" s="74"/>
    </row>
    <row r="49" spans="1:2" ht="18" x14ac:dyDescent="0.35">
      <c r="A49" s="73"/>
      <c r="B49" s="74"/>
    </row>
    <row r="50" spans="1:2" ht="18" x14ac:dyDescent="0.35">
      <c r="A50" s="73"/>
      <c r="B50" s="74"/>
    </row>
    <row r="51" spans="1:2" ht="18" x14ac:dyDescent="0.35">
      <c r="A51" s="73"/>
      <c r="B51" s="74"/>
    </row>
    <row r="52" spans="1:2" ht="18" x14ac:dyDescent="0.35">
      <c r="A52" s="73"/>
      <c r="B52" s="74"/>
    </row>
    <row r="53" spans="1:2" ht="18" x14ac:dyDescent="0.35">
      <c r="A53" s="73"/>
      <c r="B53" s="74"/>
    </row>
    <row r="54" spans="1:2" ht="18" x14ac:dyDescent="0.35">
      <c r="A54" s="73"/>
      <c r="B54" s="74"/>
    </row>
    <row r="55" spans="1:2" ht="18" x14ac:dyDescent="0.35">
      <c r="A55" s="73"/>
      <c r="B55" s="74"/>
    </row>
    <row r="56" spans="1:2" ht="18" x14ac:dyDescent="0.35">
      <c r="A56" s="73"/>
      <c r="B56" s="74"/>
    </row>
    <row r="57" spans="1:2" ht="18" x14ac:dyDescent="0.35">
      <c r="A57" s="73"/>
      <c r="B57" s="74"/>
    </row>
    <row r="58" spans="1:2" ht="18" x14ac:dyDescent="0.35">
      <c r="A58" s="73"/>
      <c r="B58" s="74"/>
    </row>
    <row r="59" spans="1:2" ht="18" x14ac:dyDescent="0.35">
      <c r="A59" s="73"/>
      <c r="B59" s="74"/>
    </row>
    <row r="60" spans="1:2" ht="18" x14ac:dyDescent="0.35">
      <c r="A60" s="73"/>
      <c r="B60" s="74"/>
    </row>
    <row r="61" spans="1:2" ht="18" x14ac:dyDescent="0.35">
      <c r="A61" s="73"/>
      <c r="B61" s="74"/>
    </row>
    <row r="62" spans="1:2" ht="18" x14ac:dyDescent="0.35">
      <c r="A62" s="73"/>
      <c r="B62" s="74"/>
    </row>
    <row r="63" spans="1:2" ht="18" x14ac:dyDescent="0.35">
      <c r="A63" s="73"/>
      <c r="B63" s="74"/>
    </row>
    <row r="64" spans="1:2" ht="18" x14ac:dyDescent="0.35">
      <c r="A64" s="73"/>
      <c r="B64" s="74"/>
    </row>
    <row r="65" spans="1:2" ht="18" x14ac:dyDescent="0.35">
      <c r="A65" s="73"/>
      <c r="B65" s="74"/>
    </row>
    <row r="66" spans="1:2" ht="18" x14ac:dyDescent="0.35">
      <c r="A66" s="73"/>
      <c r="B66" s="74"/>
    </row>
    <row r="67" spans="1:2" ht="18" x14ac:dyDescent="0.35">
      <c r="A67" s="73"/>
      <c r="B67" s="74"/>
    </row>
    <row r="68" spans="1:2" ht="18" x14ac:dyDescent="0.35">
      <c r="A68" s="73"/>
      <c r="B68" s="74"/>
    </row>
    <row r="69" spans="1:2" ht="18" x14ac:dyDescent="0.35">
      <c r="A69" s="73"/>
      <c r="B69" s="74"/>
    </row>
    <row r="70" spans="1:2" ht="18" x14ac:dyDescent="0.35">
      <c r="A70" s="73"/>
      <c r="B70" s="74"/>
    </row>
    <row r="71" spans="1:2" ht="18" x14ac:dyDescent="0.35">
      <c r="A71" s="73"/>
      <c r="B71" s="74"/>
    </row>
    <row r="72" spans="1:2" ht="18" x14ac:dyDescent="0.35">
      <c r="A72" s="73"/>
      <c r="B72" s="74"/>
    </row>
    <row r="73" spans="1:2" ht="18" x14ac:dyDescent="0.35">
      <c r="A73" s="73"/>
      <c r="B73" s="74"/>
    </row>
  </sheetData>
  <sheetProtection algorithmName="SHA-512" hashValue="TYdN3rJcvSldZww8mfKtbC1KGx8Y+8/WJZqUScAPnPniI0k3RWBZxMBS1M7U26Ld9Oif7Y/cB6OOY2wILWeqXA==" saltValue="zHdyDRqWk13KiucMUXOLZQ==" spinCount="100000" sheet="1" objects="1" scenarios="1"/>
  <sortState ref="E1:E2">
    <sortCondition descending="1" ref="E2"/>
  </sortState>
  <phoneticPr fontId="8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SurveySheet</vt:lpstr>
      <vt:lpstr>Entry</vt:lpstr>
      <vt:lpstr>Results</vt:lpstr>
      <vt:lpstr>DVtable</vt:lpstr>
      <vt:lpstr>Entry!Print_Area</vt:lpstr>
      <vt:lpstr>Results!Print_Area</vt:lpstr>
      <vt:lpstr>SurveySheet!Print_Area</vt:lpstr>
      <vt:lpstr>Entry!Print_Titles</vt:lpstr>
      <vt:lpstr>Results!Print_Titles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Swopnil Kalika</dc:creator>
  <cp:lastModifiedBy>dell</cp:lastModifiedBy>
  <cp:lastPrinted>2021-09-21T18:14:24Z</cp:lastPrinted>
  <dcterms:created xsi:type="dcterms:W3CDTF">2019-05-27T07:17:10Z</dcterms:created>
  <dcterms:modified xsi:type="dcterms:W3CDTF">2025-04-22T11:25:47Z</dcterms:modified>
</cp:coreProperties>
</file>